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Enzo\Desktop\ldb\manual\"/>
    </mc:Choice>
  </mc:AlternateContent>
  <xr:revisionPtr revIDLastSave="0" documentId="13_ncr:1_{09AAE738-4680-4B83-9340-1514952F09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Sheet1!$A$1:$S$613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5" i="1" l="1"/>
  <c r="H75" i="1"/>
  <c r="G74" i="1"/>
  <c r="H74" i="1"/>
  <c r="G73" i="1"/>
  <c r="H73" i="1"/>
  <c r="G72" i="1"/>
  <c r="H72" i="1"/>
  <c r="G71" i="1"/>
  <c r="H71" i="1"/>
  <c r="G70" i="1"/>
  <c r="H70" i="1"/>
  <c r="G69" i="1"/>
  <c r="H69" i="1"/>
  <c r="G68" i="1"/>
  <c r="H68" i="1"/>
  <c r="G67" i="1"/>
  <c r="H67" i="1"/>
  <c r="G66" i="1"/>
  <c r="H66" i="1"/>
  <c r="H62" i="1"/>
  <c r="H63" i="1"/>
  <c r="H64" i="1"/>
  <c r="H65" i="1"/>
  <c r="G62" i="1"/>
  <c r="G63" i="1"/>
  <c r="G64" i="1"/>
  <c r="G65" i="1"/>
  <c r="G61" i="1"/>
  <c r="H61" i="1"/>
  <c r="G60" i="1"/>
  <c r="H60" i="1"/>
  <c r="G58" i="1"/>
  <c r="H58" i="1"/>
  <c r="G57" i="1"/>
  <c r="H57" i="1"/>
  <c r="G53" i="1"/>
  <c r="H53" i="1"/>
  <c r="D5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2" i="1"/>
  <c r="G3" i="1"/>
  <c r="H3" i="1"/>
  <c r="G4" i="1"/>
  <c r="H4" i="1"/>
  <c r="G5" i="1"/>
  <c r="H5" i="1"/>
  <c r="G6" i="1"/>
  <c r="H6" i="1"/>
  <c r="G7" i="1"/>
  <c r="H7" i="1"/>
  <c r="G8" i="1"/>
  <c r="H8" i="1"/>
  <c r="G9" i="1"/>
  <c r="H9" i="1"/>
  <c r="G10" i="1"/>
  <c r="H10" i="1"/>
  <c r="G11" i="1"/>
  <c r="H11" i="1"/>
  <c r="G12" i="1"/>
  <c r="H12" i="1"/>
  <c r="G13" i="1"/>
  <c r="H13" i="1"/>
  <c r="G14" i="1"/>
  <c r="H14" i="1"/>
  <c r="G15" i="1"/>
  <c r="H15" i="1"/>
  <c r="G16" i="1"/>
  <c r="H16" i="1"/>
  <c r="G17" i="1"/>
  <c r="H17" i="1"/>
  <c r="G18" i="1"/>
  <c r="H18" i="1"/>
  <c r="G19" i="1"/>
  <c r="H19" i="1"/>
  <c r="G20" i="1"/>
  <c r="H20" i="1"/>
  <c r="G21" i="1"/>
  <c r="H21" i="1"/>
  <c r="G22" i="1"/>
  <c r="H22" i="1"/>
  <c r="G23" i="1"/>
  <c r="H23" i="1"/>
  <c r="G24" i="1"/>
  <c r="H24" i="1"/>
  <c r="G25" i="1"/>
  <c r="H25" i="1"/>
  <c r="G26" i="1"/>
  <c r="H26" i="1"/>
  <c r="G27" i="1"/>
  <c r="H27" i="1"/>
  <c r="G28" i="1"/>
  <c r="H28" i="1"/>
  <c r="G29" i="1"/>
  <c r="H29" i="1"/>
  <c r="G30" i="1"/>
  <c r="H30" i="1"/>
  <c r="G31" i="1"/>
  <c r="H31" i="1"/>
  <c r="G32" i="1"/>
  <c r="H32" i="1"/>
  <c r="G33" i="1"/>
  <c r="H33" i="1"/>
  <c r="G34" i="1"/>
  <c r="H34" i="1"/>
  <c r="G35" i="1"/>
  <c r="H35" i="1"/>
  <c r="G36" i="1"/>
  <c r="H36" i="1"/>
  <c r="G37" i="1"/>
  <c r="H37" i="1"/>
  <c r="G38" i="1"/>
  <c r="H38" i="1"/>
  <c r="G39" i="1"/>
  <c r="H39" i="1"/>
  <c r="G40" i="1"/>
  <c r="H40" i="1"/>
  <c r="G41" i="1"/>
  <c r="H41" i="1"/>
  <c r="G42" i="1"/>
  <c r="H42" i="1"/>
  <c r="G43" i="1"/>
  <c r="H43" i="1"/>
  <c r="G44" i="1"/>
  <c r="H44" i="1"/>
  <c r="G45" i="1"/>
  <c r="H45" i="1"/>
  <c r="G46" i="1"/>
  <c r="H46" i="1"/>
  <c r="G47" i="1"/>
  <c r="H47" i="1"/>
  <c r="G48" i="1"/>
  <c r="H48" i="1"/>
  <c r="G49" i="1"/>
  <c r="H49" i="1"/>
  <c r="G50" i="1"/>
  <c r="H50" i="1"/>
  <c r="G51" i="1"/>
  <c r="H51" i="1"/>
  <c r="G52" i="1"/>
  <c r="H52" i="1"/>
  <c r="G54" i="1"/>
  <c r="H54" i="1"/>
  <c r="G55" i="1"/>
  <c r="H55" i="1"/>
  <c r="G56" i="1"/>
  <c r="H56" i="1"/>
  <c r="G59" i="1"/>
  <c r="H59" i="1"/>
  <c r="H2" i="1"/>
  <c r="G2" i="1"/>
</calcChain>
</file>

<file path=xl/sharedStrings.xml><?xml version="1.0" encoding="utf-8"?>
<sst xmlns="http://schemas.openxmlformats.org/spreadsheetml/2006/main" count="231" uniqueCount="84">
  <si>
    <t>2025-07-03 18:00:00</t>
  </si>
  <si>
    <t>Minas LDB U22</t>
  </si>
  <si>
    <t>Mogi Basquete LDB U22</t>
  </si>
  <si>
    <t>2025-07-03 15:45:00</t>
  </si>
  <si>
    <t>Caxias do Sul LDB U22</t>
  </si>
  <si>
    <t>Sao Jose U22</t>
  </si>
  <si>
    <t>2025-07-03 13:30:00</t>
  </si>
  <si>
    <t>Uniao Corinthians LDB U22</t>
  </si>
  <si>
    <t>Pinheiros U22</t>
  </si>
  <si>
    <t>2025-07-03 11:15:00</t>
  </si>
  <si>
    <t>BRB/Brasilia LDB U22</t>
  </si>
  <si>
    <t>ADRM/Maringa LDB U22</t>
  </si>
  <si>
    <t>2025-07-03 09:00:00</t>
  </si>
  <si>
    <t>Campo Mourao LDB U22</t>
  </si>
  <si>
    <t>Franca U22</t>
  </si>
  <si>
    <t>2025-07-02 18:00:00</t>
  </si>
  <si>
    <t>Pato Basquete LDB U22</t>
  </si>
  <si>
    <t>Flamengo U22</t>
  </si>
  <si>
    <t>Paulistano U22</t>
  </si>
  <si>
    <t>2025-07-02 15:45:00</t>
  </si>
  <si>
    <t>IVV/CETAF LDB U22</t>
  </si>
  <si>
    <t>Sao Paulo LDB U22</t>
  </si>
  <si>
    <t>2025-07-02 13:30:00</t>
  </si>
  <si>
    <t>Botafogo RJ U22</t>
  </si>
  <si>
    <t>Corinthians U22</t>
  </si>
  <si>
    <t>2025-07-02 11:15:00</t>
  </si>
  <si>
    <t>Basquete Cearense LDB U22</t>
  </si>
  <si>
    <t>Bauru LDB U22</t>
  </si>
  <si>
    <t>2025-07-02 09:00:00</t>
  </si>
  <si>
    <t>Vasco da Gama/Tijuca LDB U22</t>
  </si>
  <si>
    <t>Soc. Thalia/SMEIJ LDB U22</t>
  </si>
  <si>
    <t>2025-07-01 18:00:00</t>
  </si>
  <si>
    <t>Unifacisa LDB U22</t>
  </si>
  <si>
    <t>2025-07-01 15:45:00</t>
  </si>
  <si>
    <t>2025-07-01 13:30:00</t>
  </si>
  <si>
    <t>2025-07-01 11:15:00</t>
  </si>
  <si>
    <t>2025-07-01 09:00:00</t>
  </si>
  <si>
    <t>2025-06-30 18:00:00</t>
  </si>
  <si>
    <t>2025-06-30 15:45:00</t>
  </si>
  <si>
    <t>2025-06-30 13:30:00</t>
  </si>
  <si>
    <t>2025-06-30 11:15:00</t>
  </si>
  <si>
    <t>2025-06-30 09:00:00</t>
  </si>
  <si>
    <t>2025-06-29 18:00:00</t>
  </si>
  <si>
    <t>2025-06-29 15:45:00</t>
  </si>
  <si>
    <t>2025-06-29 13:30:00</t>
  </si>
  <si>
    <t>2025-06-29 11:15:00</t>
  </si>
  <si>
    <t>2025-06-29 09:00:00</t>
  </si>
  <si>
    <t>2025-06-28 18:00:00</t>
  </si>
  <si>
    <t>2025-06-28 15:45:00</t>
  </si>
  <si>
    <t>2025-06-28 13:30:00</t>
  </si>
  <si>
    <t>Coritiba/Thalia LDB U22</t>
  </si>
  <si>
    <t>2025-06-28 11:15:00</t>
  </si>
  <si>
    <t>2025-06-28 09:00:00</t>
  </si>
  <si>
    <t>2025-06-27 18:00:00</t>
  </si>
  <si>
    <t>2025-06-27 15:45:00</t>
  </si>
  <si>
    <t>2025-06-27 13:30:00</t>
  </si>
  <si>
    <t>2025-06-27 11:15:00</t>
  </si>
  <si>
    <t>2025-06-27 09:00:00</t>
  </si>
  <si>
    <t>2025-06-26 18:00:00</t>
  </si>
  <si>
    <t>2025-06-26 15:45:00</t>
  </si>
  <si>
    <t>2025-06-26 13:30:00</t>
  </si>
  <si>
    <t>2025-06-26 11:15:00</t>
  </si>
  <si>
    <t>2025-06-26 09:00:00</t>
  </si>
  <si>
    <t>Data</t>
  </si>
  <si>
    <t>Mandante</t>
  </si>
  <si>
    <t>Visitante</t>
  </si>
  <si>
    <t>Q1 Casa</t>
  </si>
  <si>
    <t>Q1 Fora</t>
  </si>
  <si>
    <t>Venc. Q1</t>
  </si>
  <si>
    <t>MOV Q1</t>
  </si>
  <si>
    <t>Final Casa</t>
  </si>
  <si>
    <t>Final Fora</t>
  </si>
  <si>
    <t>Spread</t>
  </si>
  <si>
    <t>Total</t>
  </si>
  <si>
    <t>Fora Spread</t>
  </si>
  <si>
    <t>Casa Spread</t>
  </si>
  <si>
    <t>Over</t>
  </si>
  <si>
    <t>Under</t>
  </si>
  <si>
    <t>Q1</t>
  </si>
  <si>
    <t>Concat</t>
  </si>
  <si>
    <t>2025-07-29 16:15:00</t>
  </si>
  <si>
    <t>2025-07-29 14:00:00</t>
  </si>
  <si>
    <t>2025-07-29 11:15:00</t>
  </si>
  <si>
    <t>2025-07-29 09:00:00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</si>
</sst>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2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13"/>
  <sheetViews>
    <sheetView tabSelected="1" topLeftCell="A46" workbookViewId="0">
      <selection activeCell="D56" sqref="D56"/>
    </sheetView>
  </sheetViews>
  <sheetFormatPr defaultRowHeight="15" x14ac:dyDescent="0.25"/>
  <cols>
    <col min="1" max="1" width="18.28515625" style="5" bestFit="1" customWidth="1"/>
    <col min="2" max="3" width="28.140625" customWidth="1"/>
    <col min="4" max="4" width="51.42578125" customWidth="1"/>
    <col min="5" max="5" width="12.42578125" bestFit="1" customWidth="1"/>
    <col min="6" max="6" width="12.28515625" bestFit="1" customWidth="1"/>
    <col min="7" max="7" width="24.5703125" bestFit="1" customWidth="1"/>
    <col min="8" max="8" width="13" bestFit="1" customWidth="1"/>
    <col min="9" max="9" width="15.7109375" bestFit="1" customWidth="1"/>
    <col min="10" max="10" width="15.140625" bestFit="1" customWidth="1"/>
    <col min="11" max="11" width="13.5703125" bestFit="1" customWidth="1"/>
    <col min="12" max="12" width="14" bestFit="1" customWidth="1"/>
    <col min="13" max="13" width="13.42578125" bestFit="1" customWidth="1"/>
    <col min="14" max="14" width="15.5703125" bestFit="1" customWidth="1"/>
    <col min="15" max="15" width="14.85546875" bestFit="1" customWidth="1"/>
    <col min="16" max="16" width="16.140625" bestFit="1" customWidth="1"/>
    <col min="17" max="17" width="15.5703125" bestFit="1" customWidth="1"/>
    <col min="18" max="18" width="16" bestFit="1" customWidth="1"/>
    <col min="19" max="19" width="15.42578125" bestFit="1" customWidth="1"/>
  </cols>
  <sheetData>
    <row r="1" spans="1:19" x14ac:dyDescent="0.25">
      <c r="A1" s="4" t="s">
        <v>63</v>
      </c>
      <c r="B1" s="1" t="s">
        <v>64</v>
      </c>
      <c r="C1" s="1" t="s">
        <v>65</v>
      </c>
      <c r="D1" s="1" t="s">
        <v>79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75</v>
      </c>
      <c r="M1" s="1" t="s">
        <v>74</v>
      </c>
      <c r="N1" s="1" t="s">
        <v>73</v>
      </c>
      <c r="O1" s="1" t="s">
        <v>76</v>
      </c>
      <c r="P1" s="1" t="s">
        <v>77</v>
      </c>
      <c r="Q1" s="1" t="s">
        <v>78</v>
      </c>
      <c r="R1" s="1" t="s">
        <v>66</v>
      </c>
      <c r="S1" s="1" t="s">
        <v>67</v>
      </c>
    </row>
    <row r="2" spans="1:19" x14ac:dyDescent="0.25">
      <c r="A2" s="5" t="s">
        <v>0</v>
      </c>
      <c r="B2" t="s">
        <v>1</v>
      </c>
      <c r="C2" t="s">
        <v>2</v>
      </c>
      <c r="D2" t="str">
        <f>_xlfn.CONCAT(B2," x ",C2)</f>
        <v>Minas LDB U22 x Mogi Basquete LDB U22</v>
      </c>
      <c r="E2">
        <v>20</v>
      </c>
      <c r="F2">
        <v>11</v>
      </c>
      <c r="G2" t="str">
        <f t="shared" ref="G2:G33" si="0">IF(E2&gt;F2,B2,IF(F2&gt;E2,C2,"Empate"))</f>
        <v>Minas LDB U22</v>
      </c>
      <c r="H2">
        <f>E2-F2</f>
        <v>9</v>
      </c>
      <c r="I2">
        <v>66</v>
      </c>
      <c r="J2">
        <v>53</v>
      </c>
      <c r="K2">
        <v>-9.5</v>
      </c>
      <c r="L2">
        <v>1.7689999999999999</v>
      </c>
      <c r="M2">
        <v>1.909</v>
      </c>
      <c r="N2">
        <v>134.5</v>
      </c>
      <c r="O2">
        <v>1.7689999999999999</v>
      </c>
      <c r="P2">
        <v>1.909</v>
      </c>
      <c r="Q2">
        <v>-2.5</v>
      </c>
      <c r="R2">
        <v>1.7689999999999999</v>
      </c>
      <c r="S2">
        <v>1.909</v>
      </c>
    </row>
    <row r="3" spans="1:19" x14ac:dyDescent="0.25">
      <c r="A3" s="5" t="s">
        <v>3</v>
      </c>
      <c r="B3" t="s">
        <v>4</v>
      </c>
      <c r="C3" t="s">
        <v>5</v>
      </c>
      <c r="D3" t="str">
        <f t="shared" ref="D3:D66" si="1">_xlfn.CONCAT(B3," x ",C3)</f>
        <v>Caxias do Sul LDB U22 x Sao Jose U22</v>
      </c>
      <c r="E3">
        <v>16</v>
      </c>
      <c r="F3">
        <v>12</v>
      </c>
      <c r="G3" t="str">
        <f t="shared" si="0"/>
        <v>Caxias do Sul LDB U22</v>
      </c>
      <c r="H3">
        <f t="shared" ref="H3:H75" si="2">E3-F3</f>
        <v>4</v>
      </c>
      <c r="I3">
        <v>52</v>
      </c>
      <c r="J3">
        <v>76</v>
      </c>
      <c r="K3">
        <v>-1.5</v>
      </c>
      <c r="L3">
        <v>1.869</v>
      </c>
      <c r="M3">
        <v>1.8</v>
      </c>
      <c r="N3">
        <v>145.5</v>
      </c>
      <c r="O3">
        <v>1.833</v>
      </c>
      <c r="P3">
        <v>1.833</v>
      </c>
      <c r="Q3">
        <v>-0.5</v>
      </c>
      <c r="R3">
        <v>1.869</v>
      </c>
      <c r="S3">
        <v>1.8</v>
      </c>
    </row>
    <row r="4" spans="1:19" x14ac:dyDescent="0.25">
      <c r="A4" s="5" t="s">
        <v>6</v>
      </c>
      <c r="B4" t="s">
        <v>7</v>
      </c>
      <c r="C4" t="s">
        <v>8</v>
      </c>
      <c r="D4" t="str">
        <f t="shared" si="1"/>
        <v>Uniao Corinthians LDB U22 x Pinheiros U22</v>
      </c>
      <c r="E4">
        <v>8</v>
      </c>
      <c r="F4">
        <v>12</v>
      </c>
      <c r="G4" t="str">
        <f t="shared" si="0"/>
        <v>Pinheiros U22</v>
      </c>
      <c r="H4">
        <f t="shared" si="2"/>
        <v>-4</v>
      </c>
      <c r="I4">
        <v>53</v>
      </c>
      <c r="J4">
        <v>82</v>
      </c>
      <c r="K4">
        <v>32.5</v>
      </c>
      <c r="L4">
        <v>1.869</v>
      </c>
      <c r="M4">
        <v>1.8</v>
      </c>
      <c r="N4">
        <v>138.5</v>
      </c>
      <c r="O4">
        <v>1.833</v>
      </c>
      <c r="P4">
        <v>1.833</v>
      </c>
      <c r="Q4">
        <v>9.5</v>
      </c>
      <c r="R4">
        <v>1.833</v>
      </c>
      <c r="S4">
        <v>1.833</v>
      </c>
    </row>
    <row r="5" spans="1:19" x14ac:dyDescent="0.25">
      <c r="A5" s="5" t="s">
        <v>9</v>
      </c>
      <c r="B5" t="s">
        <v>10</v>
      </c>
      <c r="C5" t="s">
        <v>11</v>
      </c>
      <c r="D5" t="str">
        <f t="shared" si="1"/>
        <v>BRB/Brasilia LDB U22 x ADRM/Maringa LDB U22</v>
      </c>
      <c r="E5">
        <v>22</v>
      </c>
      <c r="F5">
        <v>10</v>
      </c>
      <c r="G5" t="str">
        <f t="shared" si="0"/>
        <v>BRB/Brasilia LDB U22</v>
      </c>
      <c r="H5">
        <f t="shared" si="2"/>
        <v>12</v>
      </c>
      <c r="I5">
        <v>55</v>
      </c>
      <c r="J5">
        <v>47</v>
      </c>
      <c r="K5">
        <v>-1.5</v>
      </c>
      <c r="L5">
        <v>1.7689999999999999</v>
      </c>
      <c r="M5">
        <v>1.909</v>
      </c>
      <c r="N5">
        <v>130.5</v>
      </c>
      <c r="O5">
        <v>1.7689999999999999</v>
      </c>
      <c r="P5">
        <v>1.909</v>
      </c>
      <c r="Q5">
        <v>-0.5</v>
      </c>
      <c r="R5">
        <v>1.833</v>
      </c>
      <c r="S5">
        <v>1.833</v>
      </c>
    </row>
    <row r="6" spans="1:19" x14ac:dyDescent="0.25">
      <c r="A6" s="5" t="s">
        <v>12</v>
      </c>
      <c r="B6" t="s">
        <v>13</v>
      </c>
      <c r="C6" t="s">
        <v>14</v>
      </c>
      <c r="D6" t="str">
        <f t="shared" si="1"/>
        <v>Campo Mourao LDB U22 x Franca U22</v>
      </c>
      <c r="E6">
        <v>19</v>
      </c>
      <c r="F6">
        <v>18</v>
      </c>
      <c r="G6" t="str">
        <f t="shared" si="0"/>
        <v>Campo Mourao LDB U22</v>
      </c>
      <c r="H6">
        <f t="shared" si="2"/>
        <v>1</v>
      </c>
      <c r="I6">
        <v>72</v>
      </c>
      <c r="J6">
        <v>77</v>
      </c>
      <c r="K6">
        <v>26.5</v>
      </c>
      <c r="L6">
        <v>1.7689999999999999</v>
      </c>
      <c r="M6">
        <v>1.909</v>
      </c>
      <c r="N6">
        <v>140.5</v>
      </c>
      <c r="O6">
        <v>1.833</v>
      </c>
      <c r="P6">
        <v>1.833</v>
      </c>
      <c r="Q6">
        <v>8.5</v>
      </c>
      <c r="R6">
        <v>1.833</v>
      </c>
      <c r="S6">
        <v>1.833</v>
      </c>
    </row>
    <row r="7" spans="1:19" x14ac:dyDescent="0.25">
      <c r="A7" s="5" t="s">
        <v>15</v>
      </c>
      <c r="B7" t="s">
        <v>2</v>
      </c>
      <c r="C7" t="s">
        <v>16</v>
      </c>
      <c r="D7" t="str">
        <f t="shared" si="1"/>
        <v>Mogi Basquete LDB U22 x Pato Basquete LDB U22</v>
      </c>
      <c r="E7">
        <v>16</v>
      </c>
      <c r="F7">
        <v>9</v>
      </c>
      <c r="G7" t="str">
        <f t="shared" si="0"/>
        <v>Mogi Basquete LDB U22</v>
      </c>
      <c r="H7">
        <f t="shared" si="2"/>
        <v>7</v>
      </c>
      <c r="I7">
        <v>80</v>
      </c>
      <c r="J7">
        <v>54</v>
      </c>
      <c r="K7">
        <v>-16.5</v>
      </c>
      <c r="L7">
        <v>1.909</v>
      </c>
      <c r="M7">
        <v>1.7689999999999999</v>
      </c>
      <c r="N7">
        <v>138.5</v>
      </c>
      <c r="O7">
        <v>1.833</v>
      </c>
      <c r="P7">
        <v>1.833</v>
      </c>
      <c r="Q7">
        <v>-4.5</v>
      </c>
      <c r="R7">
        <v>1.833</v>
      </c>
      <c r="S7">
        <v>1.833</v>
      </c>
    </row>
    <row r="8" spans="1:19" x14ac:dyDescent="0.25">
      <c r="A8" s="5" t="s">
        <v>15</v>
      </c>
      <c r="B8" t="s">
        <v>17</v>
      </c>
      <c r="C8" t="s">
        <v>18</v>
      </c>
      <c r="D8" t="str">
        <f t="shared" si="1"/>
        <v>Flamengo U22 x Paulistano U22</v>
      </c>
      <c r="E8">
        <v>10</v>
      </c>
      <c r="F8">
        <v>33</v>
      </c>
      <c r="G8" t="str">
        <f t="shared" si="0"/>
        <v>Paulistano U22</v>
      </c>
      <c r="H8">
        <f t="shared" si="2"/>
        <v>-23</v>
      </c>
      <c r="I8">
        <v>59</v>
      </c>
      <c r="J8">
        <v>112</v>
      </c>
      <c r="K8">
        <v>17.5</v>
      </c>
      <c r="L8">
        <v>1.833</v>
      </c>
      <c r="M8">
        <v>1.833</v>
      </c>
      <c r="N8">
        <v>160.5</v>
      </c>
      <c r="O8">
        <v>1.833</v>
      </c>
      <c r="P8">
        <v>1.833</v>
      </c>
      <c r="Q8">
        <v>4.5</v>
      </c>
      <c r="R8">
        <v>1.909</v>
      </c>
      <c r="S8">
        <v>1.7689999999999999</v>
      </c>
    </row>
    <row r="9" spans="1:19" x14ac:dyDescent="0.25">
      <c r="A9" s="5" t="s">
        <v>19</v>
      </c>
      <c r="B9" t="s">
        <v>8</v>
      </c>
      <c r="C9" t="s">
        <v>4</v>
      </c>
      <c r="D9" t="str">
        <f t="shared" si="1"/>
        <v>Pinheiros U22 x Caxias do Sul LDB U22</v>
      </c>
      <c r="E9">
        <v>20</v>
      </c>
      <c r="F9">
        <v>15</v>
      </c>
      <c r="G9" t="str">
        <f t="shared" si="0"/>
        <v>Pinheiros U22</v>
      </c>
      <c r="H9">
        <f t="shared" si="2"/>
        <v>5</v>
      </c>
      <c r="I9">
        <v>68</v>
      </c>
      <c r="J9">
        <v>60</v>
      </c>
      <c r="K9">
        <v>-13.5</v>
      </c>
      <c r="L9">
        <v>1.833</v>
      </c>
      <c r="M9">
        <v>1.833</v>
      </c>
      <c r="N9">
        <v>141.5</v>
      </c>
      <c r="O9">
        <v>1.833</v>
      </c>
      <c r="P9">
        <v>1.833</v>
      </c>
      <c r="Q9">
        <v>-3.5</v>
      </c>
      <c r="R9">
        <v>1.8</v>
      </c>
      <c r="S9">
        <v>1.869</v>
      </c>
    </row>
    <row r="10" spans="1:19" x14ac:dyDescent="0.25">
      <c r="A10" s="5" t="s">
        <v>19</v>
      </c>
      <c r="B10" t="s">
        <v>20</v>
      </c>
      <c r="C10" t="s">
        <v>21</v>
      </c>
      <c r="D10" t="str">
        <f t="shared" si="1"/>
        <v>IVV/CETAF LDB U22 x Sao Paulo LDB U22</v>
      </c>
      <c r="E10">
        <v>12</v>
      </c>
      <c r="F10">
        <v>30</v>
      </c>
      <c r="G10" t="str">
        <f t="shared" si="0"/>
        <v>Sao Paulo LDB U22</v>
      </c>
      <c r="H10">
        <f t="shared" si="2"/>
        <v>-18</v>
      </c>
      <c r="I10">
        <v>63</v>
      </c>
      <c r="J10">
        <v>100</v>
      </c>
      <c r="K10">
        <v>11.5</v>
      </c>
      <c r="L10">
        <v>2</v>
      </c>
      <c r="M10">
        <v>1.714</v>
      </c>
      <c r="N10">
        <v>147.5</v>
      </c>
      <c r="O10">
        <v>1.833</v>
      </c>
      <c r="P10">
        <v>1.833</v>
      </c>
      <c r="Q10">
        <v>3.5</v>
      </c>
      <c r="R10">
        <v>1.869</v>
      </c>
      <c r="S10">
        <v>1.8</v>
      </c>
    </row>
    <row r="11" spans="1:19" x14ac:dyDescent="0.25">
      <c r="A11" s="5" t="s">
        <v>22</v>
      </c>
      <c r="B11" t="s">
        <v>5</v>
      </c>
      <c r="C11" t="s">
        <v>13</v>
      </c>
      <c r="D11" t="str">
        <f t="shared" si="1"/>
        <v>Sao Jose U22 x Campo Mourao LDB U22</v>
      </c>
      <c r="E11">
        <v>27</v>
      </c>
      <c r="F11">
        <v>17</v>
      </c>
      <c r="G11" t="str">
        <f t="shared" si="0"/>
        <v>Sao Jose U22</v>
      </c>
      <c r="H11">
        <f t="shared" si="2"/>
        <v>10</v>
      </c>
      <c r="I11">
        <v>86</v>
      </c>
      <c r="J11">
        <v>69</v>
      </c>
      <c r="K11">
        <v>-28.5</v>
      </c>
      <c r="L11">
        <v>1.833</v>
      </c>
      <c r="M11">
        <v>1.833</v>
      </c>
      <c r="N11">
        <v>139.5</v>
      </c>
      <c r="O11">
        <v>1.833</v>
      </c>
      <c r="P11">
        <v>1.833</v>
      </c>
      <c r="Q11">
        <v>-8.5</v>
      </c>
      <c r="R11">
        <v>1.833</v>
      </c>
      <c r="S11">
        <v>1.833</v>
      </c>
    </row>
    <row r="12" spans="1:19" x14ac:dyDescent="0.25">
      <c r="A12" s="5" t="s">
        <v>22</v>
      </c>
      <c r="B12" t="s">
        <v>23</v>
      </c>
      <c r="C12" t="s">
        <v>24</v>
      </c>
      <c r="D12" t="str">
        <f t="shared" si="1"/>
        <v>Botafogo RJ U22 x Corinthians U22</v>
      </c>
      <c r="E12">
        <v>18</v>
      </c>
      <c r="F12">
        <v>24</v>
      </c>
      <c r="G12" t="str">
        <f t="shared" si="0"/>
        <v>Corinthians U22</v>
      </c>
      <c r="H12">
        <f t="shared" si="2"/>
        <v>-6</v>
      </c>
      <c r="I12">
        <v>70</v>
      </c>
      <c r="J12">
        <v>79</v>
      </c>
      <c r="K12">
        <v>12.5</v>
      </c>
      <c r="L12">
        <v>1.909</v>
      </c>
      <c r="M12">
        <v>1.7689999999999999</v>
      </c>
      <c r="N12">
        <v>150.5</v>
      </c>
      <c r="O12">
        <v>1.833</v>
      </c>
      <c r="P12">
        <v>1.833</v>
      </c>
      <c r="Q12">
        <v>3.5</v>
      </c>
      <c r="R12">
        <v>1.869</v>
      </c>
      <c r="S12">
        <v>1.8</v>
      </c>
    </row>
    <row r="13" spans="1:19" x14ac:dyDescent="0.25">
      <c r="A13" s="5" t="s">
        <v>25</v>
      </c>
      <c r="B13" t="s">
        <v>14</v>
      </c>
      <c r="C13" t="s">
        <v>1</v>
      </c>
      <c r="D13" t="str">
        <f t="shared" si="1"/>
        <v>Franca U22 x Minas LDB U22</v>
      </c>
      <c r="E13">
        <v>21</v>
      </c>
      <c r="F13">
        <v>12</v>
      </c>
      <c r="G13" t="str">
        <f t="shared" si="0"/>
        <v>Franca U22</v>
      </c>
      <c r="H13">
        <f t="shared" si="2"/>
        <v>9</v>
      </c>
      <c r="I13">
        <v>67</v>
      </c>
      <c r="J13">
        <v>51</v>
      </c>
      <c r="K13">
        <v>1.5</v>
      </c>
      <c r="L13">
        <v>1.833</v>
      </c>
      <c r="M13">
        <v>1.833</v>
      </c>
      <c r="N13">
        <v>142.5</v>
      </c>
      <c r="O13">
        <v>1.7689999999999999</v>
      </c>
      <c r="P13">
        <v>1.909</v>
      </c>
      <c r="Q13">
        <v>0.5</v>
      </c>
      <c r="R13">
        <v>1.833</v>
      </c>
      <c r="S13">
        <v>1.833</v>
      </c>
    </row>
    <row r="14" spans="1:19" x14ac:dyDescent="0.25">
      <c r="A14" s="5" t="s">
        <v>25</v>
      </c>
      <c r="B14" t="s">
        <v>26</v>
      </c>
      <c r="C14" t="s">
        <v>27</v>
      </c>
      <c r="D14" t="str">
        <f t="shared" si="1"/>
        <v>Basquete Cearense LDB U22 x Bauru LDB U22</v>
      </c>
      <c r="E14">
        <v>11</v>
      </c>
      <c r="F14">
        <v>22</v>
      </c>
      <c r="G14" t="str">
        <f t="shared" si="0"/>
        <v>Bauru LDB U22</v>
      </c>
      <c r="H14">
        <f t="shared" si="2"/>
        <v>-11</v>
      </c>
      <c r="I14">
        <v>56</v>
      </c>
      <c r="J14">
        <v>64</v>
      </c>
      <c r="K14">
        <v>23.5</v>
      </c>
      <c r="L14">
        <v>1.909</v>
      </c>
      <c r="M14">
        <v>1.7689999999999999</v>
      </c>
      <c r="N14">
        <v>146.5</v>
      </c>
      <c r="O14">
        <v>1.833</v>
      </c>
      <c r="P14">
        <v>1.833</v>
      </c>
      <c r="Q14">
        <v>6.5</v>
      </c>
      <c r="R14">
        <v>1.909</v>
      </c>
      <c r="S14">
        <v>1.7689999999999999</v>
      </c>
    </row>
    <row r="15" spans="1:19" x14ac:dyDescent="0.25">
      <c r="A15" s="5" t="s">
        <v>28</v>
      </c>
      <c r="B15" t="s">
        <v>29</v>
      </c>
      <c r="C15" t="s">
        <v>30</v>
      </c>
      <c r="D15" t="str">
        <f t="shared" si="1"/>
        <v>Vasco da Gama/Tijuca LDB U22 x Soc. Thalia/SMEIJ LDB U22</v>
      </c>
      <c r="E15">
        <v>19</v>
      </c>
      <c r="F15">
        <v>19</v>
      </c>
      <c r="G15" t="str">
        <f t="shared" si="0"/>
        <v>Empate</v>
      </c>
      <c r="H15">
        <f t="shared" si="2"/>
        <v>0</v>
      </c>
      <c r="I15">
        <v>75</v>
      </c>
      <c r="J15">
        <v>72</v>
      </c>
      <c r="K15">
        <v>14.5</v>
      </c>
      <c r="L15">
        <v>1.833</v>
      </c>
      <c r="M15">
        <v>1.833</v>
      </c>
      <c r="N15">
        <v>136.5</v>
      </c>
      <c r="O15">
        <v>1.833</v>
      </c>
      <c r="P15">
        <v>1.833</v>
      </c>
      <c r="Q15">
        <v>3.5</v>
      </c>
      <c r="R15">
        <v>1.909</v>
      </c>
      <c r="S15">
        <v>1.7689999999999999</v>
      </c>
    </row>
    <row r="16" spans="1:19" x14ac:dyDescent="0.25">
      <c r="A16" s="5" t="s">
        <v>28</v>
      </c>
      <c r="B16" t="s">
        <v>11</v>
      </c>
      <c r="C16" t="s">
        <v>7</v>
      </c>
      <c r="D16" t="str">
        <f t="shared" si="1"/>
        <v>ADRM/Maringa LDB U22 x Uniao Corinthians LDB U22</v>
      </c>
      <c r="E16">
        <v>11</v>
      </c>
      <c r="F16">
        <v>16</v>
      </c>
      <c r="G16" t="str">
        <f t="shared" si="0"/>
        <v>Uniao Corinthians LDB U22</v>
      </c>
      <c r="H16">
        <f t="shared" si="2"/>
        <v>-5</v>
      </c>
      <c r="I16">
        <v>52</v>
      </c>
      <c r="J16">
        <v>56</v>
      </c>
      <c r="K16">
        <v>4.5</v>
      </c>
      <c r="L16">
        <v>1.909</v>
      </c>
      <c r="M16">
        <v>1.7689999999999999</v>
      </c>
      <c r="N16">
        <v>130.5</v>
      </c>
      <c r="O16">
        <v>1.833</v>
      </c>
      <c r="P16">
        <v>1.833</v>
      </c>
      <c r="Q16">
        <v>0.5</v>
      </c>
      <c r="R16">
        <v>2</v>
      </c>
      <c r="S16">
        <v>1.714</v>
      </c>
    </row>
    <row r="17" spans="1:19" x14ac:dyDescent="0.25">
      <c r="A17" s="5" t="s">
        <v>31</v>
      </c>
      <c r="B17" t="s">
        <v>18</v>
      </c>
      <c r="C17" t="s">
        <v>32</v>
      </c>
      <c r="D17" t="str">
        <f t="shared" si="1"/>
        <v>Paulistano U22 x Unifacisa LDB U22</v>
      </c>
      <c r="E17">
        <v>26</v>
      </c>
      <c r="F17">
        <v>14</v>
      </c>
      <c r="G17" t="str">
        <f t="shared" si="0"/>
        <v>Paulistano U22</v>
      </c>
      <c r="H17">
        <f t="shared" si="2"/>
        <v>12</v>
      </c>
      <c r="I17">
        <v>108</v>
      </c>
      <c r="J17">
        <v>66</v>
      </c>
      <c r="K17">
        <v>-53.5</v>
      </c>
      <c r="L17">
        <v>1.7689999999999999</v>
      </c>
      <c r="M17">
        <v>1.909</v>
      </c>
      <c r="N17">
        <v>153.5</v>
      </c>
      <c r="O17">
        <v>1.833</v>
      </c>
      <c r="P17">
        <v>1.833</v>
      </c>
      <c r="Q17">
        <v>-15.5</v>
      </c>
      <c r="R17">
        <v>1.7689999999999999</v>
      </c>
      <c r="S17">
        <v>1.909</v>
      </c>
    </row>
    <row r="18" spans="1:19" x14ac:dyDescent="0.25">
      <c r="A18" s="5" t="s">
        <v>31</v>
      </c>
      <c r="B18" t="s">
        <v>10</v>
      </c>
      <c r="C18" t="s">
        <v>2</v>
      </c>
      <c r="D18" t="str">
        <f t="shared" si="1"/>
        <v>BRB/Brasilia LDB U22 x Mogi Basquete LDB U22</v>
      </c>
      <c r="E18">
        <v>7</v>
      </c>
      <c r="F18">
        <v>17</v>
      </c>
      <c r="G18" t="str">
        <f t="shared" si="0"/>
        <v>Mogi Basquete LDB U22</v>
      </c>
      <c r="H18">
        <f t="shared" si="2"/>
        <v>-10</v>
      </c>
      <c r="I18">
        <v>42</v>
      </c>
      <c r="J18">
        <v>74</v>
      </c>
      <c r="K18">
        <v>26.5</v>
      </c>
      <c r="L18">
        <v>1.833</v>
      </c>
      <c r="M18">
        <v>1.833</v>
      </c>
      <c r="N18">
        <v>138.5</v>
      </c>
      <c r="O18">
        <v>1.833</v>
      </c>
      <c r="P18">
        <v>1.833</v>
      </c>
      <c r="Q18">
        <v>7.5</v>
      </c>
      <c r="R18">
        <v>1.869</v>
      </c>
      <c r="S18">
        <v>1.8</v>
      </c>
    </row>
    <row r="19" spans="1:19" x14ac:dyDescent="0.25">
      <c r="A19" s="5" t="s">
        <v>33</v>
      </c>
      <c r="B19" t="s">
        <v>21</v>
      </c>
      <c r="C19" t="s">
        <v>23</v>
      </c>
      <c r="D19" t="str">
        <f t="shared" si="1"/>
        <v>Sao Paulo LDB U22 x Botafogo RJ U22</v>
      </c>
      <c r="E19">
        <v>26</v>
      </c>
      <c r="F19">
        <v>21</v>
      </c>
      <c r="G19" t="str">
        <f t="shared" si="0"/>
        <v>Sao Paulo LDB U22</v>
      </c>
      <c r="H19">
        <f t="shared" si="2"/>
        <v>5</v>
      </c>
      <c r="I19">
        <v>76</v>
      </c>
      <c r="J19">
        <v>96</v>
      </c>
      <c r="K19">
        <v>-20.5</v>
      </c>
      <c r="L19">
        <v>1.833</v>
      </c>
      <c r="M19">
        <v>1.833</v>
      </c>
      <c r="N19">
        <v>154.5</v>
      </c>
      <c r="O19">
        <v>1.833</v>
      </c>
      <c r="P19">
        <v>1.833</v>
      </c>
      <c r="Q19">
        <v>-5.5</v>
      </c>
      <c r="R19">
        <v>1.7689999999999999</v>
      </c>
      <c r="S19">
        <v>1.909</v>
      </c>
    </row>
    <row r="20" spans="1:19" x14ac:dyDescent="0.25">
      <c r="A20" s="5" t="s">
        <v>33</v>
      </c>
      <c r="B20" t="s">
        <v>16</v>
      </c>
      <c r="C20" t="s">
        <v>14</v>
      </c>
      <c r="D20" t="str">
        <f t="shared" si="1"/>
        <v>Pato Basquete LDB U22 x Franca U22</v>
      </c>
      <c r="E20">
        <v>12</v>
      </c>
      <c r="F20">
        <v>20</v>
      </c>
      <c r="G20" t="str">
        <f t="shared" si="0"/>
        <v>Franca U22</v>
      </c>
      <c r="H20">
        <f t="shared" si="2"/>
        <v>-8</v>
      </c>
      <c r="I20">
        <v>70</v>
      </c>
      <c r="J20">
        <v>80</v>
      </c>
      <c r="K20">
        <v>18.5</v>
      </c>
      <c r="L20">
        <v>1.833</v>
      </c>
      <c r="M20">
        <v>1.833</v>
      </c>
      <c r="N20">
        <v>141.5</v>
      </c>
      <c r="O20">
        <v>1.833</v>
      </c>
      <c r="P20">
        <v>1.833</v>
      </c>
      <c r="Q20">
        <v>5.5</v>
      </c>
      <c r="R20">
        <v>1.833</v>
      </c>
      <c r="S20">
        <v>1.833</v>
      </c>
    </row>
    <row r="21" spans="1:19" x14ac:dyDescent="0.25">
      <c r="A21" s="5" t="s">
        <v>34</v>
      </c>
      <c r="B21" t="s">
        <v>30</v>
      </c>
      <c r="C21" t="s">
        <v>20</v>
      </c>
      <c r="D21" t="str">
        <f t="shared" si="1"/>
        <v>Soc. Thalia/SMEIJ LDB U22 x IVV/CETAF LDB U22</v>
      </c>
      <c r="E21">
        <v>16</v>
      </c>
      <c r="F21">
        <v>10</v>
      </c>
      <c r="G21" t="str">
        <f t="shared" si="0"/>
        <v>Soc. Thalia/SMEIJ LDB U22</v>
      </c>
      <c r="H21">
        <f t="shared" si="2"/>
        <v>6</v>
      </c>
      <c r="I21">
        <v>58</v>
      </c>
      <c r="J21">
        <v>57</v>
      </c>
      <c r="K21">
        <v>7.5</v>
      </c>
      <c r="L21">
        <v>1.8</v>
      </c>
      <c r="M21">
        <v>1.869</v>
      </c>
      <c r="N21">
        <v>142.5</v>
      </c>
      <c r="O21">
        <v>1.833</v>
      </c>
      <c r="P21">
        <v>1.833</v>
      </c>
      <c r="Q21">
        <v>1.5</v>
      </c>
      <c r="R21">
        <v>1.909</v>
      </c>
      <c r="S21">
        <v>1.7689999999999999</v>
      </c>
    </row>
    <row r="22" spans="1:19" x14ac:dyDescent="0.25">
      <c r="A22" s="5" t="s">
        <v>34</v>
      </c>
      <c r="B22" t="s">
        <v>13</v>
      </c>
      <c r="C22" t="s">
        <v>8</v>
      </c>
      <c r="D22" t="str">
        <f t="shared" si="1"/>
        <v>Campo Mourao LDB U22 x Pinheiros U22</v>
      </c>
      <c r="E22">
        <v>17</v>
      </c>
      <c r="F22">
        <v>22</v>
      </c>
      <c r="G22" t="str">
        <f t="shared" si="0"/>
        <v>Pinheiros U22</v>
      </c>
      <c r="H22">
        <f t="shared" si="2"/>
        <v>-5</v>
      </c>
      <c r="I22">
        <v>53</v>
      </c>
      <c r="J22">
        <v>82</v>
      </c>
      <c r="K22">
        <v>38.5</v>
      </c>
      <c r="L22">
        <v>1.833</v>
      </c>
      <c r="M22">
        <v>1.833</v>
      </c>
      <c r="N22">
        <v>142.5</v>
      </c>
      <c r="O22">
        <v>1.833</v>
      </c>
      <c r="P22">
        <v>1.833</v>
      </c>
      <c r="Q22">
        <v>11.5</v>
      </c>
      <c r="R22">
        <v>1.833</v>
      </c>
      <c r="S22">
        <v>1.833</v>
      </c>
    </row>
    <row r="23" spans="1:19" x14ac:dyDescent="0.25">
      <c r="A23" s="5" t="s">
        <v>35</v>
      </c>
      <c r="B23" t="s">
        <v>1</v>
      </c>
      <c r="C23" t="s">
        <v>5</v>
      </c>
      <c r="D23" t="str">
        <f t="shared" si="1"/>
        <v>Minas LDB U22 x Sao Jose U22</v>
      </c>
      <c r="E23">
        <v>16</v>
      </c>
      <c r="F23">
        <v>14</v>
      </c>
      <c r="G23" t="str">
        <f t="shared" si="0"/>
        <v>Minas LDB U22</v>
      </c>
      <c r="H23">
        <f t="shared" si="2"/>
        <v>2</v>
      </c>
      <c r="I23">
        <v>68</v>
      </c>
      <c r="J23">
        <v>60</v>
      </c>
      <c r="K23">
        <v>-12.5</v>
      </c>
      <c r="L23">
        <v>1.909</v>
      </c>
      <c r="M23">
        <v>1.7689999999999999</v>
      </c>
      <c r="N23">
        <v>143.5</v>
      </c>
      <c r="O23">
        <v>1.833</v>
      </c>
      <c r="P23">
        <v>1.833</v>
      </c>
      <c r="Q23">
        <v>-2.5</v>
      </c>
      <c r="R23">
        <v>1.714</v>
      </c>
      <c r="S23">
        <v>2</v>
      </c>
    </row>
    <row r="24" spans="1:19" x14ac:dyDescent="0.25">
      <c r="A24" s="5" t="s">
        <v>35</v>
      </c>
      <c r="B24" t="s">
        <v>24</v>
      </c>
      <c r="C24" t="s">
        <v>26</v>
      </c>
      <c r="D24" t="str">
        <f t="shared" si="1"/>
        <v>Corinthians U22 x Basquete Cearense LDB U22</v>
      </c>
      <c r="E24">
        <v>23</v>
      </c>
      <c r="F24">
        <v>9</v>
      </c>
      <c r="G24" t="str">
        <f t="shared" si="0"/>
        <v>Corinthians U22</v>
      </c>
      <c r="H24">
        <f t="shared" si="2"/>
        <v>14</v>
      </c>
      <c r="I24">
        <v>97</v>
      </c>
      <c r="J24">
        <v>56</v>
      </c>
      <c r="K24">
        <v>-43.5</v>
      </c>
      <c r="L24">
        <v>1.714</v>
      </c>
      <c r="M24">
        <v>2</v>
      </c>
      <c r="N24">
        <v>147.5</v>
      </c>
      <c r="O24">
        <v>1.833</v>
      </c>
      <c r="P24">
        <v>1.833</v>
      </c>
      <c r="Q24">
        <v>-12.5</v>
      </c>
      <c r="R24">
        <v>1.714</v>
      </c>
      <c r="S24">
        <v>2</v>
      </c>
    </row>
    <row r="25" spans="1:19" x14ac:dyDescent="0.25">
      <c r="A25" s="5" t="s">
        <v>36</v>
      </c>
      <c r="B25" t="s">
        <v>4</v>
      </c>
      <c r="C25" t="s">
        <v>11</v>
      </c>
      <c r="D25" t="str">
        <f t="shared" si="1"/>
        <v>Caxias do Sul LDB U22 x ADRM/Maringa LDB U22</v>
      </c>
      <c r="E25">
        <v>14</v>
      </c>
      <c r="F25">
        <v>14</v>
      </c>
      <c r="G25" t="str">
        <f t="shared" si="0"/>
        <v>Empate</v>
      </c>
      <c r="H25">
        <f t="shared" si="2"/>
        <v>0</v>
      </c>
      <c r="I25">
        <v>83</v>
      </c>
      <c r="J25">
        <v>44</v>
      </c>
      <c r="K25">
        <v>-26.5</v>
      </c>
      <c r="L25">
        <v>1.833</v>
      </c>
      <c r="M25">
        <v>1.833</v>
      </c>
      <c r="N25">
        <v>135.5</v>
      </c>
      <c r="O25">
        <v>1.909</v>
      </c>
      <c r="P25">
        <v>1.7689999999999999</v>
      </c>
      <c r="Q25">
        <v>-7.5</v>
      </c>
      <c r="R25">
        <v>1.8</v>
      </c>
      <c r="S25">
        <v>1.869</v>
      </c>
    </row>
    <row r="26" spans="1:19" x14ac:dyDescent="0.25">
      <c r="A26" s="5" t="s">
        <v>36</v>
      </c>
      <c r="B26" t="s">
        <v>27</v>
      </c>
      <c r="C26" t="s">
        <v>17</v>
      </c>
      <c r="D26" t="str">
        <f t="shared" si="1"/>
        <v>Bauru LDB U22 x Flamengo U22</v>
      </c>
      <c r="E26">
        <v>15</v>
      </c>
      <c r="F26">
        <v>28</v>
      </c>
      <c r="G26" t="str">
        <f t="shared" si="0"/>
        <v>Flamengo U22</v>
      </c>
      <c r="H26">
        <f t="shared" si="2"/>
        <v>-13</v>
      </c>
      <c r="I26">
        <v>83</v>
      </c>
      <c r="J26">
        <v>78</v>
      </c>
      <c r="K26">
        <v>9.5</v>
      </c>
      <c r="L26">
        <v>1.833</v>
      </c>
      <c r="M26">
        <v>1.833</v>
      </c>
      <c r="N26">
        <v>147.5</v>
      </c>
      <c r="O26">
        <v>1.8</v>
      </c>
      <c r="P26">
        <v>1.869</v>
      </c>
      <c r="Q26">
        <v>2.5</v>
      </c>
      <c r="R26">
        <v>1.833</v>
      </c>
      <c r="S26">
        <v>1.833</v>
      </c>
    </row>
    <row r="27" spans="1:19" x14ac:dyDescent="0.25">
      <c r="A27" s="5" t="s">
        <v>37</v>
      </c>
      <c r="B27" t="s">
        <v>29</v>
      </c>
      <c r="C27" t="s">
        <v>18</v>
      </c>
      <c r="D27" t="str">
        <f t="shared" si="1"/>
        <v>Vasco da Gama/Tijuca LDB U22 x Paulistano U22</v>
      </c>
      <c r="E27">
        <v>22</v>
      </c>
      <c r="F27">
        <v>26</v>
      </c>
      <c r="G27" t="str">
        <f t="shared" si="0"/>
        <v>Paulistano U22</v>
      </c>
      <c r="H27">
        <f t="shared" si="2"/>
        <v>-4</v>
      </c>
      <c r="I27">
        <v>47</v>
      </c>
      <c r="J27">
        <v>87</v>
      </c>
      <c r="K27">
        <v>37.5</v>
      </c>
      <c r="L27">
        <v>1.833</v>
      </c>
      <c r="M27">
        <v>1.833</v>
      </c>
      <c r="N27">
        <v>141.5</v>
      </c>
      <c r="O27">
        <v>1.869</v>
      </c>
      <c r="P27">
        <v>1.8</v>
      </c>
      <c r="Q27">
        <v>10.5</v>
      </c>
      <c r="R27">
        <v>1.909</v>
      </c>
      <c r="S27">
        <v>1.7689999999999999</v>
      </c>
    </row>
    <row r="28" spans="1:19" x14ac:dyDescent="0.25">
      <c r="A28" s="5" t="s">
        <v>38</v>
      </c>
      <c r="B28" t="s">
        <v>23</v>
      </c>
      <c r="C28" t="s">
        <v>30</v>
      </c>
      <c r="D28" t="str">
        <f t="shared" si="1"/>
        <v>Botafogo RJ U22 x Soc. Thalia/SMEIJ LDB U22</v>
      </c>
      <c r="E28">
        <v>12</v>
      </c>
      <c r="F28">
        <v>15</v>
      </c>
      <c r="G28" t="str">
        <f t="shared" si="0"/>
        <v>Soc. Thalia/SMEIJ LDB U22</v>
      </c>
      <c r="H28">
        <f t="shared" si="2"/>
        <v>-3</v>
      </c>
      <c r="I28">
        <v>66</v>
      </c>
      <c r="J28">
        <v>80</v>
      </c>
      <c r="K28">
        <v>-19.5</v>
      </c>
      <c r="L28">
        <v>1.833</v>
      </c>
      <c r="M28">
        <v>1.833</v>
      </c>
      <c r="N28">
        <v>146.5</v>
      </c>
      <c r="O28">
        <v>1.833</v>
      </c>
      <c r="P28">
        <v>1.833</v>
      </c>
      <c r="Q28">
        <v>-5.5</v>
      </c>
      <c r="R28">
        <v>1.833</v>
      </c>
      <c r="S28">
        <v>1.833</v>
      </c>
    </row>
    <row r="29" spans="1:19" x14ac:dyDescent="0.25">
      <c r="A29" s="5" t="s">
        <v>39</v>
      </c>
      <c r="B29" t="s">
        <v>17</v>
      </c>
      <c r="C29" t="s">
        <v>24</v>
      </c>
      <c r="D29" s="2" t="str">
        <f t="shared" si="1"/>
        <v>Flamengo U22 x Corinthians U22</v>
      </c>
      <c r="E29">
        <v>13</v>
      </c>
      <c r="F29">
        <v>23</v>
      </c>
      <c r="G29" t="str">
        <f t="shared" si="0"/>
        <v>Corinthians U22</v>
      </c>
      <c r="H29">
        <f t="shared" si="2"/>
        <v>-10</v>
      </c>
      <c r="I29">
        <v>54</v>
      </c>
      <c r="J29">
        <v>91</v>
      </c>
      <c r="K29">
        <v>7.5</v>
      </c>
      <c r="L29">
        <v>1.8</v>
      </c>
      <c r="M29">
        <v>1.869</v>
      </c>
      <c r="N29">
        <v>152.5</v>
      </c>
      <c r="O29">
        <v>1.833</v>
      </c>
      <c r="P29">
        <v>1.833</v>
      </c>
      <c r="Q29">
        <v>1.5</v>
      </c>
      <c r="R29">
        <v>1.909</v>
      </c>
      <c r="S29">
        <v>1.7689999999999999</v>
      </c>
    </row>
    <row r="30" spans="1:19" x14ac:dyDescent="0.25">
      <c r="A30" s="5" t="s">
        <v>40</v>
      </c>
      <c r="B30" t="s">
        <v>32</v>
      </c>
      <c r="C30" t="s">
        <v>27</v>
      </c>
      <c r="D30" t="str">
        <f t="shared" si="1"/>
        <v>Unifacisa LDB U22 x Bauru LDB U22</v>
      </c>
      <c r="E30">
        <v>14</v>
      </c>
      <c r="F30">
        <v>25</v>
      </c>
      <c r="G30" t="str">
        <f t="shared" si="0"/>
        <v>Bauru LDB U22</v>
      </c>
      <c r="H30">
        <f t="shared" si="2"/>
        <v>-11</v>
      </c>
      <c r="I30">
        <v>67</v>
      </c>
      <c r="J30">
        <v>87</v>
      </c>
      <c r="K30">
        <v>29.5</v>
      </c>
      <c r="L30">
        <v>1.833</v>
      </c>
      <c r="M30">
        <v>1.833</v>
      </c>
      <c r="N30">
        <v>136.5</v>
      </c>
      <c r="O30">
        <v>1.833</v>
      </c>
      <c r="P30">
        <v>1.833</v>
      </c>
      <c r="Q30">
        <v>8.5</v>
      </c>
      <c r="R30">
        <v>1.833</v>
      </c>
      <c r="S30">
        <v>1.833</v>
      </c>
    </row>
    <row r="31" spans="1:19" x14ac:dyDescent="0.25">
      <c r="A31" s="5" t="s">
        <v>41</v>
      </c>
      <c r="B31" t="s">
        <v>26</v>
      </c>
      <c r="C31" t="s">
        <v>21</v>
      </c>
      <c r="D31" t="str">
        <f t="shared" si="1"/>
        <v>Basquete Cearense LDB U22 x Sao Paulo LDB U22</v>
      </c>
      <c r="E31">
        <v>16</v>
      </c>
      <c r="F31">
        <v>26</v>
      </c>
      <c r="G31" t="str">
        <f t="shared" si="0"/>
        <v>Sao Paulo LDB U22</v>
      </c>
      <c r="H31">
        <f t="shared" si="2"/>
        <v>-10</v>
      </c>
      <c r="I31">
        <v>58</v>
      </c>
      <c r="J31">
        <v>98</v>
      </c>
      <c r="K31">
        <v>40.5</v>
      </c>
      <c r="L31">
        <v>1.833</v>
      </c>
      <c r="M31">
        <v>1.833</v>
      </c>
      <c r="N31">
        <v>145.5</v>
      </c>
      <c r="O31">
        <v>1.869</v>
      </c>
      <c r="P31">
        <v>1.8</v>
      </c>
      <c r="Q31">
        <v>11.5</v>
      </c>
      <c r="R31">
        <v>1.869</v>
      </c>
      <c r="S31">
        <v>1.8</v>
      </c>
    </row>
    <row r="32" spans="1:19" x14ac:dyDescent="0.25">
      <c r="A32" s="5" t="s">
        <v>42</v>
      </c>
      <c r="B32" t="s">
        <v>2</v>
      </c>
      <c r="C32" t="s">
        <v>7</v>
      </c>
      <c r="D32" t="str">
        <f t="shared" si="1"/>
        <v>Mogi Basquete LDB U22 x Uniao Corinthians LDB U22</v>
      </c>
      <c r="E32">
        <v>26</v>
      </c>
      <c r="F32">
        <v>11</v>
      </c>
      <c r="G32" t="str">
        <f t="shared" si="0"/>
        <v>Mogi Basquete LDB U22</v>
      </c>
      <c r="H32">
        <f t="shared" si="2"/>
        <v>15</v>
      </c>
      <c r="I32">
        <v>76</v>
      </c>
      <c r="J32">
        <v>49</v>
      </c>
      <c r="K32">
        <v>-18.5</v>
      </c>
      <c r="L32">
        <v>1.909</v>
      </c>
      <c r="M32">
        <v>1.7689999999999999</v>
      </c>
      <c r="N32">
        <v>144.5</v>
      </c>
      <c r="O32">
        <v>1.833</v>
      </c>
      <c r="P32">
        <v>1.833</v>
      </c>
      <c r="Q32">
        <v>-4.5</v>
      </c>
      <c r="R32">
        <v>1.7689999999999999</v>
      </c>
      <c r="S32">
        <v>1.909</v>
      </c>
    </row>
    <row r="33" spans="1:19" x14ac:dyDescent="0.25">
      <c r="A33" s="5" t="s">
        <v>43</v>
      </c>
      <c r="B33" t="s">
        <v>5</v>
      </c>
      <c r="C33" t="s">
        <v>16</v>
      </c>
      <c r="D33" t="str">
        <f t="shared" si="1"/>
        <v>Sao Jose U22 x Pato Basquete LDB U22</v>
      </c>
      <c r="E33">
        <v>26</v>
      </c>
      <c r="F33">
        <v>10</v>
      </c>
      <c r="G33" t="str">
        <f t="shared" si="0"/>
        <v>Sao Jose U22</v>
      </c>
      <c r="H33">
        <f t="shared" si="2"/>
        <v>16</v>
      </c>
      <c r="I33">
        <v>84</v>
      </c>
      <c r="J33">
        <v>71</v>
      </c>
      <c r="K33">
        <v>-23.5</v>
      </c>
      <c r="L33">
        <v>1.833</v>
      </c>
      <c r="M33">
        <v>1.833</v>
      </c>
      <c r="N33">
        <v>142.5</v>
      </c>
      <c r="O33">
        <v>1.833</v>
      </c>
      <c r="P33">
        <v>1.833</v>
      </c>
      <c r="Q33">
        <v>-6.5</v>
      </c>
      <c r="R33">
        <v>1.8</v>
      </c>
      <c r="S33">
        <v>1.869</v>
      </c>
    </row>
    <row r="34" spans="1:19" x14ac:dyDescent="0.25">
      <c r="A34" s="5" t="s">
        <v>44</v>
      </c>
      <c r="B34" t="s">
        <v>8</v>
      </c>
      <c r="C34" t="s">
        <v>1</v>
      </c>
      <c r="D34" t="str">
        <f t="shared" si="1"/>
        <v>Pinheiros U22 x Minas LDB U22</v>
      </c>
      <c r="E34">
        <v>27</v>
      </c>
      <c r="F34">
        <v>24</v>
      </c>
      <c r="G34" t="str">
        <f t="shared" ref="G34:G53" si="3">IF(E34&gt;F34,B34,IF(F34&gt;E34,C34,"Empate"))</f>
        <v>Pinheiros U22</v>
      </c>
      <c r="H34">
        <f t="shared" si="2"/>
        <v>3</v>
      </c>
      <c r="I34">
        <v>71</v>
      </c>
      <c r="J34">
        <v>77</v>
      </c>
      <c r="K34">
        <v>-11.5</v>
      </c>
      <c r="L34">
        <v>1.833</v>
      </c>
      <c r="M34">
        <v>1.833</v>
      </c>
      <c r="N34">
        <v>140.5</v>
      </c>
      <c r="O34">
        <v>1.833</v>
      </c>
      <c r="P34">
        <v>1.833</v>
      </c>
      <c r="Q34">
        <v>-2.5</v>
      </c>
      <c r="R34">
        <v>1.714</v>
      </c>
      <c r="S34">
        <v>2</v>
      </c>
    </row>
    <row r="35" spans="1:19" x14ac:dyDescent="0.25">
      <c r="A35" s="5" t="s">
        <v>45</v>
      </c>
      <c r="B35" t="s">
        <v>11</v>
      </c>
      <c r="C35" t="s">
        <v>13</v>
      </c>
      <c r="D35" t="str">
        <f t="shared" si="1"/>
        <v>ADRM/Maringa LDB U22 x Campo Mourao LDB U22</v>
      </c>
      <c r="E35">
        <v>12</v>
      </c>
      <c r="F35">
        <v>17</v>
      </c>
      <c r="G35" t="str">
        <f t="shared" si="3"/>
        <v>Campo Mourao LDB U22</v>
      </c>
      <c r="H35">
        <f t="shared" si="2"/>
        <v>-5</v>
      </c>
      <c r="I35">
        <v>68</v>
      </c>
      <c r="J35">
        <v>65</v>
      </c>
      <c r="K35">
        <v>12.5</v>
      </c>
      <c r="L35">
        <v>1.833</v>
      </c>
      <c r="M35">
        <v>1.833</v>
      </c>
      <c r="N35">
        <v>137.5</v>
      </c>
      <c r="O35">
        <v>1.833</v>
      </c>
      <c r="P35">
        <v>1.833</v>
      </c>
      <c r="Q35">
        <v>3.5</v>
      </c>
      <c r="R35">
        <v>1.869</v>
      </c>
      <c r="S35">
        <v>1.8</v>
      </c>
    </row>
    <row r="36" spans="1:19" x14ac:dyDescent="0.25">
      <c r="A36" s="5" t="s">
        <v>46</v>
      </c>
      <c r="B36" t="s">
        <v>14</v>
      </c>
      <c r="C36" t="s">
        <v>10</v>
      </c>
      <c r="D36" t="str">
        <f t="shared" si="1"/>
        <v>Franca U22 x BRB/Brasilia LDB U22</v>
      </c>
      <c r="E36">
        <v>23</v>
      </c>
      <c r="F36">
        <v>16</v>
      </c>
      <c r="G36" t="str">
        <f t="shared" si="3"/>
        <v>Franca U22</v>
      </c>
      <c r="H36">
        <f t="shared" si="2"/>
        <v>7</v>
      </c>
      <c r="I36">
        <v>96</v>
      </c>
      <c r="J36">
        <v>53</v>
      </c>
      <c r="K36">
        <v>-22.5</v>
      </c>
      <c r="L36">
        <v>1.833</v>
      </c>
      <c r="M36">
        <v>1.833</v>
      </c>
      <c r="N36">
        <v>137.5</v>
      </c>
      <c r="O36">
        <v>1.833</v>
      </c>
      <c r="P36">
        <v>1.833</v>
      </c>
      <c r="Q36">
        <v>-6.5</v>
      </c>
      <c r="R36">
        <v>1.7689999999999999</v>
      </c>
      <c r="S36">
        <v>1.909</v>
      </c>
    </row>
    <row r="37" spans="1:19" x14ac:dyDescent="0.25">
      <c r="A37" s="5" t="s">
        <v>47</v>
      </c>
      <c r="B37" t="s">
        <v>18</v>
      </c>
      <c r="C37" t="s">
        <v>20</v>
      </c>
      <c r="D37" t="str">
        <f t="shared" si="1"/>
        <v>Paulistano U22 x IVV/CETAF LDB U22</v>
      </c>
      <c r="E37">
        <v>21</v>
      </c>
      <c r="F37">
        <v>21</v>
      </c>
      <c r="G37" t="str">
        <f t="shared" si="3"/>
        <v>Empate</v>
      </c>
      <c r="H37">
        <f t="shared" si="2"/>
        <v>0</v>
      </c>
      <c r="I37">
        <v>87</v>
      </c>
      <c r="J37">
        <v>76</v>
      </c>
      <c r="K37">
        <v>-35.5</v>
      </c>
      <c r="L37">
        <v>1.8</v>
      </c>
      <c r="M37">
        <v>1.869</v>
      </c>
      <c r="N37">
        <v>138.5</v>
      </c>
      <c r="O37">
        <v>1.833</v>
      </c>
      <c r="P37">
        <v>1.833</v>
      </c>
      <c r="Q37">
        <v>-10.5</v>
      </c>
      <c r="R37">
        <v>1.833</v>
      </c>
      <c r="S37">
        <v>1.833</v>
      </c>
    </row>
    <row r="38" spans="1:19" x14ac:dyDescent="0.25">
      <c r="A38" s="5" t="s">
        <v>47</v>
      </c>
      <c r="B38" t="s">
        <v>4</v>
      </c>
      <c r="C38" t="s">
        <v>2</v>
      </c>
      <c r="D38" t="str">
        <f t="shared" si="1"/>
        <v>Caxias do Sul LDB U22 x Mogi Basquete LDB U22</v>
      </c>
      <c r="E38">
        <v>9</v>
      </c>
      <c r="F38">
        <v>13</v>
      </c>
      <c r="G38" t="str">
        <f t="shared" si="3"/>
        <v>Mogi Basquete LDB U22</v>
      </c>
      <c r="H38">
        <f t="shared" si="2"/>
        <v>-4</v>
      </c>
      <c r="I38">
        <v>75</v>
      </c>
      <c r="J38">
        <v>73</v>
      </c>
      <c r="K38">
        <v>-1.5</v>
      </c>
      <c r="L38">
        <v>1.7689999999999999</v>
      </c>
      <c r="M38">
        <v>1.909</v>
      </c>
      <c r="N38">
        <v>146.5</v>
      </c>
      <c r="O38">
        <v>1.833</v>
      </c>
      <c r="P38">
        <v>1.833</v>
      </c>
      <c r="Q38">
        <v>-0.5</v>
      </c>
      <c r="R38">
        <v>1.833</v>
      </c>
      <c r="S38">
        <v>1.833</v>
      </c>
    </row>
    <row r="39" spans="1:19" x14ac:dyDescent="0.25">
      <c r="A39" s="5" t="s">
        <v>48</v>
      </c>
      <c r="B39" t="s">
        <v>16</v>
      </c>
      <c r="C39" t="s">
        <v>8</v>
      </c>
      <c r="D39" t="str">
        <f t="shared" si="1"/>
        <v>Pato Basquete LDB U22 x Pinheiros U22</v>
      </c>
      <c r="E39">
        <v>12</v>
      </c>
      <c r="F39">
        <v>25</v>
      </c>
      <c r="G39" t="str">
        <f t="shared" si="3"/>
        <v>Pinheiros U22</v>
      </c>
      <c r="H39">
        <f t="shared" si="2"/>
        <v>-13</v>
      </c>
      <c r="I39">
        <v>60</v>
      </c>
      <c r="J39">
        <v>92</v>
      </c>
      <c r="K39">
        <v>43.5</v>
      </c>
      <c r="L39">
        <v>1.833</v>
      </c>
      <c r="M39">
        <v>1.833</v>
      </c>
      <c r="N39">
        <v>138.5</v>
      </c>
      <c r="O39">
        <v>1.833</v>
      </c>
      <c r="P39">
        <v>1.833</v>
      </c>
      <c r="Q39">
        <v>12.5</v>
      </c>
      <c r="R39">
        <v>1.869</v>
      </c>
      <c r="S39">
        <v>1.8</v>
      </c>
    </row>
    <row r="40" spans="1:19" x14ac:dyDescent="0.25">
      <c r="A40" s="5" t="s">
        <v>48</v>
      </c>
      <c r="B40" t="s">
        <v>27</v>
      </c>
      <c r="C40" t="s">
        <v>29</v>
      </c>
      <c r="D40" t="str">
        <f t="shared" si="1"/>
        <v>Bauru LDB U22 x Vasco da Gama/Tijuca LDB U22</v>
      </c>
      <c r="E40">
        <v>25</v>
      </c>
      <c r="F40">
        <v>17</v>
      </c>
      <c r="G40" t="str">
        <f t="shared" si="3"/>
        <v>Bauru LDB U22</v>
      </c>
      <c r="H40">
        <f t="shared" si="2"/>
        <v>8</v>
      </c>
      <c r="I40">
        <v>79</v>
      </c>
      <c r="J40">
        <v>54</v>
      </c>
      <c r="K40">
        <v>-1.5</v>
      </c>
      <c r="L40">
        <v>1.833</v>
      </c>
      <c r="M40">
        <v>1.833</v>
      </c>
      <c r="N40">
        <v>134.5</v>
      </c>
      <c r="O40">
        <v>1.833</v>
      </c>
      <c r="P40">
        <v>1.833</v>
      </c>
      <c r="Q40">
        <v>-0.5</v>
      </c>
      <c r="R40">
        <v>1.833</v>
      </c>
      <c r="S40">
        <v>1.833</v>
      </c>
    </row>
    <row r="41" spans="1:19" x14ac:dyDescent="0.25">
      <c r="A41" s="5" t="s">
        <v>49</v>
      </c>
      <c r="B41" t="s">
        <v>50</v>
      </c>
      <c r="C41" t="s">
        <v>26</v>
      </c>
      <c r="D41" t="str">
        <f t="shared" si="1"/>
        <v>Coritiba/Thalia LDB U22 x Basquete Cearense LDB U22</v>
      </c>
      <c r="E41">
        <v>16</v>
      </c>
      <c r="F41">
        <v>12</v>
      </c>
      <c r="G41" t="str">
        <f t="shared" si="3"/>
        <v>Coritiba/Thalia LDB U22</v>
      </c>
      <c r="H41">
        <f t="shared" si="2"/>
        <v>4</v>
      </c>
      <c r="I41">
        <v>72</v>
      </c>
      <c r="J41">
        <v>56</v>
      </c>
      <c r="K41">
        <v>-22.5</v>
      </c>
      <c r="L41">
        <v>1.833</v>
      </c>
      <c r="M41">
        <v>1.833</v>
      </c>
      <c r="N41">
        <v>144.5</v>
      </c>
      <c r="O41">
        <v>1.833</v>
      </c>
      <c r="P41">
        <v>1.833</v>
      </c>
      <c r="Q41">
        <v>-6.5</v>
      </c>
      <c r="R41">
        <v>1.833</v>
      </c>
      <c r="S41">
        <v>1.833</v>
      </c>
    </row>
    <row r="42" spans="1:19" x14ac:dyDescent="0.25">
      <c r="A42" s="5" t="s">
        <v>49</v>
      </c>
      <c r="B42" t="s">
        <v>10</v>
      </c>
      <c r="C42" t="s">
        <v>5</v>
      </c>
      <c r="D42" t="str">
        <f t="shared" si="1"/>
        <v>BRB/Brasilia LDB U22 x Sao Jose U22</v>
      </c>
      <c r="E42">
        <v>17</v>
      </c>
      <c r="F42">
        <v>23</v>
      </c>
      <c r="G42" t="str">
        <f t="shared" si="3"/>
        <v>Sao Jose U22</v>
      </c>
      <c r="H42">
        <f t="shared" si="2"/>
        <v>-6</v>
      </c>
      <c r="I42">
        <v>49</v>
      </c>
      <c r="J42">
        <v>84</v>
      </c>
      <c r="K42">
        <v>31.5</v>
      </c>
      <c r="L42">
        <v>1.833</v>
      </c>
      <c r="M42">
        <v>1.833</v>
      </c>
      <c r="N42">
        <v>145.5</v>
      </c>
      <c r="O42">
        <v>1.833</v>
      </c>
      <c r="P42">
        <v>1.833</v>
      </c>
      <c r="Q42">
        <v>8.5</v>
      </c>
      <c r="R42">
        <v>2</v>
      </c>
      <c r="S42">
        <v>1.714</v>
      </c>
    </row>
    <row r="43" spans="1:19" x14ac:dyDescent="0.25">
      <c r="A43" s="5" t="s">
        <v>51</v>
      </c>
      <c r="B43" t="s">
        <v>7</v>
      </c>
      <c r="C43" t="s">
        <v>14</v>
      </c>
      <c r="D43" t="str">
        <f t="shared" si="1"/>
        <v>Uniao Corinthians LDB U22 x Franca U22</v>
      </c>
      <c r="E43">
        <v>21</v>
      </c>
      <c r="F43">
        <v>20</v>
      </c>
      <c r="G43" t="str">
        <f t="shared" si="3"/>
        <v>Uniao Corinthians LDB U22</v>
      </c>
      <c r="H43">
        <f t="shared" si="2"/>
        <v>1</v>
      </c>
      <c r="I43">
        <v>64</v>
      </c>
      <c r="J43">
        <v>83</v>
      </c>
      <c r="K43">
        <v>31.5</v>
      </c>
      <c r="L43">
        <v>1.833</v>
      </c>
      <c r="M43">
        <v>1.833</v>
      </c>
      <c r="N43">
        <v>140.5</v>
      </c>
      <c r="O43">
        <v>1.833</v>
      </c>
      <c r="P43">
        <v>1.833</v>
      </c>
      <c r="Q43">
        <v>8.5</v>
      </c>
      <c r="R43">
        <v>2</v>
      </c>
      <c r="S43">
        <v>1.714</v>
      </c>
    </row>
    <row r="44" spans="1:19" x14ac:dyDescent="0.25">
      <c r="A44" s="5" t="s">
        <v>51</v>
      </c>
      <c r="B44" t="s">
        <v>21</v>
      </c>
      <c r="C44" t="s">
        <v>17</v>
      </c>
      <c r="D44" t="str">
        <f t="shared" si="1"/>
        <v>Sao Paulo LDB U22 x Flamengo U22</v>
      </c>
      <c r="E44">
        <v>22</v>
      </c>
      <c r="F44">
        <v>26</v>
      </c>
      <c r="G44" t="str">
        <f t="shared" si="3"/>
        <v>Flamengo U22</v>
      </c>
      <c r="H44">
        <f t="shared" si="2"/>
        <v>-4</v>
      </c>
      <c r="I44">
        <v>94</v>
      </c>
      <c r="J44">
        <v>78</v>
      </c>
      <c r="K44">
        <v>-1.5</v>
      </c>
      <c r="L44">
        <v>1.833</v>
      </c>
      <c r="M44">
        <v>1.833</v>
      </c>
      <c r="N44">
        <v>154.5</v>
      </c>
      <c r="O44">
        <v>1.833</v>
      </c>
      <c r="P44">
        <v>1.833</v>
      </c>
      <c r="Q44">
        <v>-0.5</v>
      </c>
      <c r="R44">
        <v>1.833</v>
      </c>
      <c r="S44">
        <v>1.833</v>
      </c>
    </row>
    <row r="45" spans="1:19" x14ac:dyDescent="0.25">
      <c r="A45" s="5" t="s">
        <v>52</v>
      </c>
      <c r="B45" t="s">
        <v>1</v>
      </c>
      <c r="C45" t="s">
        <v>11</v>
      </c>
      <c r="D45" t="str">
        <f t="shared" si="1"/>
        <v>Minas LDB U22 x ADRM/Maringa LDB U22</v>
      </c>
      <c r="E45">
        <v>21</v>
      </c>
      <c r="F45">
        <v>14</v>
      </c>
      <c r="G45" t="str">
        <f t="shared" si="3"/>
        <v>Minas LDB U22</v>
      </c>
      <c r="H45">
        <f t="shared" si="2"/>
        <v>7</v>
      </c>
      <c r="I45">
        <v>75</v>
      </c>
      <c r="J45">
        <v>37</v>
      </c>
      <c r="K45">
        <v>-41.5</v>
      </c>
      <c r="L45">
        <v>1.833</v>
      </c>
      <c r="M45">
        <v>1.833</v>
      </c>
      <c r="N45">
        <v>142.5</v>
      </c>
      <c r="O45">
        <v>1.833</v>
      </c>
      <c r="P45">
        <v>1.833</v>
      </c>
      <c r="Q45">
        <v>-11.5</v>
      </c>
      <c r="R45">
        <v>1.7689999999999999</v>
      </c>
      <c r="S45">
        <v>1.909</v>
      </c>
    </row>
    <row r="46" spans="1:19" x14ac:dyDescent="0.25">
      <c r="A46" s="5" t="s">
        <v>52</v>
      </c>
      <c r="B46" t="s">
        <v>24</v>
      </c>
      <c r="C46" t="s">
        <v>32</v>
      </c>
      <c r="D46" t="str">
        <f t="shared" si="1"/>
        <v>Corinthians U22 x Unifacisa LDB U22</v>
      </c>
      <c r="E46">
        <v>22</v>
      </c>
      <c r="F46">
        <v>14</v>
      </c>
      <c r="G46" t="str">
        <f t="shared" si="3"/>
        <v>Corinthians U22</v>
      </c>
      <c r="H46">
        <f t="shared" si="2"/>
        <v>8</v>
      </c>
      <c r="I46">
        <v>99</v>
      </c>
      <c r="J46">
        <v>57</v>
      </c>
      <c r="K46">
        <v>-48.5</v>
      </c>
      <c r="L46">
        <v>1.833</v>
      </c>
      <c r="M46">
        <v>1.833</v>
      </c>
      <c r="N46">
        <v>142.5</v>
      </c>
      <c r="O46">
        <v>1.833</v>
      </c>
      <c r="P46">
        <v>1.833</v>
      </c>
      <c r="Q46">
        <v>-13.5</v>
      </c>
      <c r="R46">
        <v>1.714</v>
      </c>
      <c r="S46">
        <v>2</v>
      </c>
    </row>
    <row r="47" spans="1:19" x14ac:dyDescent="0.25">
      <c r="A47" s="5" t="s">
        <v>53</v>
      </c>
      <c r="B47" t="s">
        <v>23</v>
      </c>
      <c r="C47" t="s">
        <v>18</v>
      </c>
      <c r="D47" t="str">
        <f t="shared" si="1"/>
        <v>Botafogo RJ U22 x Paulistano U22</v>
      </c>
      <c r="E47">
        <v>13</v>
      </c>
      <c r="F47">
        <v>30</v>
      </c>
      <c r="G47" t="str">
        <f t="shared" si="3"/>
        <v>Paulistano U22</v>
      </c>
      <c r="H47">
        <f t="shared" si="2"/>
        <v>-17</v>
      </c>
      <c r="I47">
        <v>69</v>
      </c>
      <c r="J47">
        <v>104</v>
      </c>
      <c r="K47">
        <v>13.5</v>
      </c>
      <c r="L47">
        <v>1.833</v>
      </c>
      <c r="M47">
        <v>1.833</v>
      </c>
      <c r="N47">
        <v>145.5</v>
      </c>
      <c r="O47">
        <v>1.833</v>
      </c>
      <c r="P47">
        <v>1.833</v>
      </c>
      <c r="Q47">
        <v>3.5</v>
      </c>
      <c r="R47">
        <v>1.869</v>
      </c>
      <c r="S47">
        <v>1.8</v>
      </c>
    </row>
    <row r="48" spans="1:19" x14ac:dyDescent="0.25">
      <c r="A48" s="5" t="s">
        <v>53</v>
      </c>
      <c r="B48" t="s">
        <v>2</v>
      </c>
      <c r="C48" t="s">
        <v>13</v>
      </c>
      <c r="D48" t="str">
        <f t="shared" si="1"/>
        <v>Mogi Basquete LDB U22 x Campo Mourao LDB U22</v>
      </c>
      <c r="E48">
        <v>22</v>
      </c>
      <c r="F48">
        <v>17</v>
      </c>
      <c r="G48" t="str">
        <f t="shared" si="3"/>
        <v>Mogi Basquete LDB U22</v>
      </c>
      <c r="H48">
        <f t="shared" si="2"/>
        <v>5</v>
      </c>
      <c r="I48">
        <v>83</v>
      </c>
      <c r="J48">
        <v>54</v>
      </c>
      <c r="K48">
        <v>-21.5</v>
      </c>
      <c r="L48">
        <v>1.833</v>
      </c>
      <c r="M48">
        <v>1.833</v>
      </c>
      <c r="N48">
        <v>143.5</v>
      </c>
      <c r="O48">
        <v>1.833</v>
      </c>
      <c r="P48">
        <v>1.833</v>
      </c>
      <c r="Q48">
        <v>-6.5</v>
      </c>
      <c r="R48">
        <v>1.869</v>
      </c>
      <c r="S48">
        <v>1.8</v>
      </c>
    </row>
    <row r="49" spans="1:19" x14ac:dyDescent="0.25">
      <c r="A49" s="5" t="s">
        <v>54</v>
      </c>
      <c r="B49" t="s">
        <v>17</v>
      </c>
      <c r="C49" t="s">
        <v>30</v>
      </c>
      <c r="D49" t="str">
        <f t="shared" si="1"/>
        <v>Flamengo U22 x Soc. Thalia/SMEIJ LDB U22</v>
      </c>
      <c r="E49">
        <v>21</v>
      </c>
      <c r="F49">
        <v>26</v>
      </c>
      <c r="G49" t="str">
        <f t="shared" si="3"/>
        <v>Soc. Thalia/SMEIJ LDB U22</v>
      </c>
      <c r="H49">
        <f t="shared" si="2"/>
        <v>-5</v>
      </c>
      <c r="I49">
        <v>98</v>
      </c>
      <c r="J49">
        <v>70</v>
      </c>
      <c r="K49">
        <v>-18.5</v>
      </c>
      <c r="L49">
        <v>1.833</v>
      </c>
      <c r="M49">
        <v>1.833</v>
      </c>
      <c r="N49">
        <v>147.5</v>
      </c>
      <c r="O49">
        <v>1.833</v>
      </c>
      <c r="P49">
        <v>1.833</v>
      </c>
      <c r="Q49">
        <v>-5.5</v>
      </c>
      <c r="R49">
        <v>1.833</v>
      </c>
      <c r="S49">
        <v>1.833</v>
      </c>
    </row>
    <row r="50" spans="1:19" x14ac:dyDescent="0.25">
      <c r="A50" s="5" t="s">
        <v>54</v>
      </c>
      <c r="B50" t="s">
        <v>8</v>
      </c>
      <c r="C50" t="s">
        <v>10</v>
      </c>
      <c r="D50" t="str">
        <f t="shared" si="1"/>
        <v>Pinheiros U22 x BRB/Brasilia LDB U22</v>
      </c>
      <c r="E50">
        <v>23</v>
      </c>
      <c r="F50">
        <v>9</v>
      </c>
      <c r="G50" t="str">
        <f t="shared" si="3"/>
        <v>Pinheiros U22</v>
      </c>
      <c r="H50">
        <f t="shared" si="2"/>
        <v>14</v>
      </c>
      <c r="I50">
        <v>98</v>
      </c>
      <c r="J50">
        <v>33</v>
      </c>
      <c r="K50">
        <v>-39.5</v>
      </c>
      <c r="L50">
        <v>1.833</v>
      </c>
      <c r="M50">
        <v>1.833</v>
      </c>
      <c r="N50">
        <v>148.5</v>
      </c>
      <c r="O50">
        <v>1.833</v>
      </c>
      <c r="P50">
        <v>1.833</v>
      </c>
      <c r="Q50">
        <v>-11.5</v>
      </c>
      <c r="R50">
        <v>1.833</v>
      </c>
      <c r="S50">
        <v>1.833</v>
      </c>
    </row>
    <row r="51" spans="1:19" x14ac:dyDescent="0.25">
      <c r="A51" s="5" t="s">
        <v>55</v>
      </c>
      <c r="B51" t="s">
        <v>32</v>
      </c>
      <c r="C51" t="s">
        <v>21</v>
      </c>
      <c r="D51" t="str">
        <f t="shared" si="1"/>
        <v>Unifacisa LDB U22 x Sao Paulo LDB U22</v>
      </c>
      <c r="E51">
        <v>10</v>
      </c>
      <c r="F51">
        <v>28</v>
      </c>
      <c r="G51" t="str">
        <f t="shared" si="3"/>
        <v>Sao Paulo LDB U22</v>
      </c>
      <c r="H51">
        <f t="shared" si="2"/>
        <v>-18</v>
      </c>
      <c r="I51">
        <v>45</v>
      </c>
      <c r="J51">
        <v>110</v>
      </c>
      <c r="K51">
        <v>37.5</v>
      </c>
      <c r="L51">
        <v>1.909</v>
      </c>
      <c r="M51">
        <v>1.7689999999999999</v>
      </c>
      <c r="N51">
        <v>146.5</v>
      </c>
      <c r="O51">
        <v>1.833</v>
      </c>
      <c r="P51">
        <v>1.833</v>
      </c>
      <c r="Q51">
        <v>11.5</v>
      </c>
      <c r="R51">
        <v>1.8</v>
      </c>
      <c r="S51">
        <v>1.869</v>
      </c>
    </row>
    <row r="52" spans="1:19" x14ac:dyDescent="0.25">
      <c r="A52" s="5" t="s">
        <v>55</v>
      </c>
      <c r="B52" t="s">
        <v>5</v>
      </c>
      <c r="C52" t="s">
        <v>7</v>
      </c>
      <c r="D52" t="str">
        <f t="shared" si="1"/>
        <v>Sao Jose U22 x Uniao Corinthians LDB U22</v>
      </c>
      <c r="E52">
        <v>25</v>
      </c>
      <c r="F52">
        <v>25</v>
      </c>
      <c r="G52" t="str">
        <f t="shared" si="3"/>
        <v>Empate</v>
      </c>
      <c r="H52">
        <f t="shared" si="2"/>
        <v>0</v>
      </c>
      <c r="I52">
        <v>96</v>
      </c>
      <c r="J52">
        <v>64</v>
      </c>
      <c r="K52">
        <v>-30.5</v>
      </c>
      <c r="L52">
        <v>1.869</v>
      </c>
      <c r="M52">
        <v>1.8</v>
      </c>
      <c r="N52">
        <v>145.5</v>
      </c>
      <c r="O52">
        <v>1.833</v>
      </c>
      <c r="P52">
        <v>1.833</v>
      </c>
      <c r="Q52">
        <v>-8.5</v>
      </c>
      <c r="R52">
        <v>1.8</v>
      </c>
      <c r="S52">
        <v>1.869</v>
      </c>
    </row>
    <row r="53" spans="1:19" x14ac:dyDescent="0.25">
      <c r="A53" s="5" t="s">
        <v>56</v>
      </c>
      <c r="B53" t="s">
        <v>29</v>
      </c>
      <c r="C53" t="s">
        <v>24</v>
      </c>
      <c r="D53" t="str">
        <f>_xlfn.CONCAT(B53," x ",C53)</f>
        <v>Vasco da Gama/Tijuca LDB U22 x Corinthians U22</v>
      </c>
      <c r="E53">
        <v>14</v>
      </c>
      <c r="F53">
        <v>22</v>
      </c>
      <c r="G53" t="str">
        <f t="shared" si="3"/>
        <v>Corinthians U22</v>
      </c>
      <c r="H53">
        <f t="shared" si="2"/>
        <v>-8</v>
      </c>
      <c r="I53">
        <v>49</v>
      </c>
      <c r="J53">
        <v>77</v>
      </c>
      <c r="K53">
        <v>36.5</v>
      </c>
      <c r="L53">
        <v>1.909</v>
      </c>
      <c r="M53">
        <v>1.7689999999999999</v>
      </c>
      <c r="N53">
        <v>136.5</v>
      </c>
      <c r="O53">
        <v>1.833</v>
      </c>
      <c r="P53">
        <v>1.833</v>
      </c>
      <c r="Q53">
        <v>9.5</v>
      </c>
      <c r="R53">
        <v>1.909</v>
      </c>
      <c r="S53">
        <v>1.7689999999999999</v>
      </c>
    </row>
    <row r="54" spans="1:19" x14ac:dyDescent="0.25">
      <c r="A54" s="5" t="s">
        <v>56</v>
      </c>
      <c r="B54" t="s">
        <v>14</v>
      </c>
      <c r="C54" t="s">
        <v>4</v>
      </c>
      <c r="D54" t="str">
        <f t="shared" si="1"/>
        <v>Franca U22 x Caxias do Sul LDB U22</v>
      </c>
      <c r="E54">
        <v>17</v>
      </c>
      <c r="F54">
        <v>8</v>
      </c>
      <c r="G54" t="str">
        <f t="shared" ref="G54:G75" si="4">IF(E54&gt;F54,B54,IF(F54&gt;E54,C54,"Empate"))</f>
        <v>Franca U22</v>
      </c>
      <c r="H54">
        <f t="shared" si="2"/>
        <v>9</v>
      </c>
      <c r="I54">
        <v>76</v>
      </c>
      <c r="J54">
        <v>68</v>
      </c>
      <c r="K54">
        <v>-1.5</v>
      </c>
      <c r="L54">
        <v>1.7689999999999999</v>
      </c>
      <c r="M54">
        <v>1.909</v>
      </c>
      <c r="N54">
        <v>141.5</v>
      </c>
      <c r="O54">
        <v>1.833</v>
      </c>
      <c r="P54">
        <v>1.833</v>
      </c>
      <c r="Q54">
        <v>-0.5</v>
      </c>
      <c r="R54">
        <v>1.833</v>
      </c>
      <c r="S54">
        <v>1.833</v>
      </c>
    </row>
    <row r="55" spans="1:19" x14ac:dyDescent="0.25">
      <c r="A55" s="5" t="s">
        <v>57</v>
      </c>
      <c r="B55" t="s">
        <v>20</v>
      </c>
      <c r="C55" t="s">
        <v>27</v>
      </c>
      <c r="D55" t="str">
        <f t="shared" si="1"/>
        <v>IVV/CETAF LDB U22 x Bauru LDB U22</v>
      </c>
      <c r="E55">
        <v>24</v>
      </c>
      <c r="F55">
        <v>20</v>
      </c>
      <c r="G55" t="str">
        <f t="shared" si="4"/>
        <v>IVV/CETAF LDB U22</v>
      </c>
      <c r="H55">
        <f t="shared" si="2"/>
        <v>4</v>
      </c>
      <c r="I55">
        <v>71</v>
      </c>
      <c r="J55">
        <v>63</v>
      </c>
      <c r="K55">
        <v>-5.5</v>
      </c>
      <c r="L55">
        <v>1.833</v>
      </c>
      <c r="M55">
        <v>1.833</v>
      </c>
      <c r="N55">
        <v>130.5</v>
      </c>
      <c r="O55">
        <v>1.833</v>
      </c>
      <c r="P55">
        <v>1.833</v>
      </c>
      <c r="Q55">
        <v>-1.5</v>
      </c>
      <c r="R55">
        <v>1.833</v>
      </c>
      <c r="S55">
        <v>1.833</v>
      </c>
    </row>
    <row r="56" spans="1:19" x14ac:dyDescent="0.25">
      <c r="A56" s="5" t="s">
        <v>57</v>
      </c>
      <c r="B56" t="s">
        <v>11</v>
      </c>
      <c r="C56" t="s">
        <v>16</v>
      </c>
      <c r="D56" t="str">
        <f t="shared" si="1"/>
        <v>ADRM/Maringa LDB U22 x Pato Basquete LDB U22</v>
      </c>
      <c r="E56">
        <v>17</v>
      </c>
      <c r="F56">
        <v>3</v>
      </c>
      <c r="G56" t="str">
        <f t="shared" si="4"/>
        <v>ADRM/Maringa LDB U22</v>
      </c>
      <c r="H56">
        <f t="shared" si="2"/>
        <v>14</v>
      </c>
      <c r="I56">
        <v>44</v>
      </c>
      <c r="J56">
        <v>56</v>
      </c>
      <c r="K56">
        <v>11.5</v>
      </c>
      <c r="L56">
        <v>2</v>
      </c>
      <c r="M56">
        <v>1.714</v>
      </c>
      <c r="N56">
        <v>130.5</v>
      </c>
      <c r="O56">
        <v>1.833</v>
      </c>
      <c r="P56">
        <v>1.833</v>
      </c>
      <c r="Q56">
        <v>3.5</v>
      </c>
      <c r="R56">
        <v>1.833</v>
      </c>
      <c r="S56">
        <v>1.833</v>
      </c>
    </row>
    <row r="57" spans="1:19" x14ac:dyDescent="0.25">
      <c r="A57" s="5" t="s">
        <v>58</v>
      </c>
      <c r="B57" t="s">
        <v>18</v>
      </c>
      <c r="C57" t="s">
        <v>26</v>
      </c>
      <c r="D57" t="str">
        <f t="shared" si="1"/>
        <v>Paulistano U22 x Basquete Cearense LDB U22</v>
      </c>
      <c r="E57">
        <v>32</v>
      </c>
      <c r="F57">
        <v>13</v>
      </c>
      <c r="G57" t="str">
        <f t="shared" si="4"/>
        <v>Paulistano U22</v>
      </c>
      <c r="H57">
        <f t="shared" si="2"/>
        <v>19</v>
      </c>
      <c r="I57">
        <v>108</v>
      </c>
      <c r="J57">
        <v>60</v>
      </c>
      <c r="K57">
        <v>-48.5</v>
      </c>
      <c r="L57">
        <v>1.7689999999999999</v>
      </c>
      <c r="M57">
        <v>1.909</v>
      </c>
      <c r="N57">
        <v>135.5</v>
      </c>
      <c r="O57">
        <v>1.8</v>
      </c>
      <c r="P57">
        <v>1.869</v>
      </c>
      <c r="Q57">
        <v>-14.5</v>
      </c>
      <c r="R57">
        <v>1.833</v>
      </c>
      <c r="S57">
        <v>1.833</v>
      </c>
    </row>
    <row r="58" spans="1:19" x14ac:dyDescent="0.25">
      <c r="A58" s="5" t="s">
        <v>59</v>
      </c>
      <c r="B58" t="s">
        <v>30</v>
      </c>
      <c r="C58" t="s">
        <v>32</v>
      </c>
      <c r="D58" t="str">
        <f t="shared" si="1"/>
        <v>Soc. Thalia/SMEIJ LDB U22 x Unifacisa LDB U22</v>
      </c>
      <c r="E58">
        <v>23</v>
      </c>
      <c r="F58">
        <v>18</v>
      </c>
      <c r="G58" t="str">
        <f t="shared" si="4"/>
        <v>Soc. Thalia/SMEIJ LDB U22</v>
      </c>
      <c r="H58">
        <f t="shared" si="2"/>
        <v>5</v>
      </c>
      <c r="I58">
        <v>86</v>
      </c>
      <c r="J58">
        <v>66</v>
      </c>
      <c r="K58">
        <v>-28.5</v>
      </c>
      <c r="L58">
        <v>1.833</v>
      </c>
      <c r="M58">
        <v>1.833</v>
      </c>
      <c r="N58">
        <v>137.5</v>
      </c>
      <c r="O58">
        <v>1.833</v>
      </c>
      <c r="P58">
        <v>1.833</v>
      </c>
      <c r="Q58">
        <v>-8.5</v>
      </c>
      <c r="R58">
        <v>1.833</v>
      </c>
      <c r="S58">
        <v>1.833</v>
      </c>
    </row>
    <row r="59" spans="1:19" x14ac:dyDescent="0.25">
      <c r="A59" s="5" t="s">
        <v>60</v>
      </c>
      <c r="B59" t="s">
        <v>27</v>
      </c>
      <c r="C59" s="2" t="s">
        <v>23</v>
      </c>
      <c r="D59" t="str">
        <f t="shared" si="1"/>
        <v>Bauru LDB U22 x Botafogo RJ U22</v>
      </c>
      <c r="E59">
        <v>10</v>
      </c>
      <c r="F59">
        <v>23</v>
      </c>
      <c r="G59" t="str">
        <f t="shared" si="4"/>
        <v>Botafogo RJ U22</v>
      </c>
      <c r="H59">
        <f t="shared" si="2"/>
        <v>-13</v>
      </c>
      <c r="I59">
        <v>58</v>
      </c>
      <c r="J59">
        <v>86</v>
      </c>
      <c r="K59">
        <v>16.5</v>
      </c>
      <c r="L59">
        <v>2</v>
      </c>
      <c r="M59">
        <v>1.714</v>
      </c>
      <c r="N59">
        <v>139.5</v>
      </c>
      <c r="O59">
        <v>1.833</v>
      </c>
      <c r="P59">
        <v>1.833</v>
      </c>
      <c r="Q59">
        <v>4.5</v>
      </c>
      <c r="R59">
        <v>2</v>
      </c>
      <c r="S59">
        <v>1.714</v>
      </c>
    </row>
    <row r="60" spans="1:19" x14ac:dyDescent="0.25">
      <c r="A60" s="5" t="s">
        <v>61</v>
      </c>
      <c r="B60" t="s">
        <v>21</v>
      </c>
      <c r="C60" t="s">
        <v>29</v>
      </c>
      <c r="D60" t="str">
        <f t="shared" si="1"/>
        <v>Sao Paulo LDB U22 x Vasco da Gama/Tijuca LDB U22</v>
      </c>
      <c r="E60">
        <v>17</v>
      </c>
      <c r="F60">
        <v>11</v>
      </c>
      <c r="G60" t="str">
        <f t="shared" si="4"/>
        <v>Sao Paulo LDB U22</v>
      </c>
      <c r="H60">
        <f t="shared" si="2"/>
        <v>6</v>
      </c>
      <c r="I60">
        <v>88</v>
      </c>
      <c r="J60">
        <v>48</v>
      </c>
      <c r="K60">
        <v>-12.5</v>
      </c>
      <c r="L60">
        <v>1.714</v>
      </c>
      <c r="M60">
        <v>2</v>
      </c>
      <c r="N60">
        <v>139.5</v>
      </c>
      <c r="O60">
        <v>1.833</v>
      </c>
      <c r="P60">
        <v>1.833</v>
      </c>
      <c r="Q60">
        <v>-3.5</v>
      </c>
      <c r="R60">
        <v>1.7689999999999999</v>
      </c>
      <c r="S60">
        <v>1.909</v>
      </c>
    </row>
    <row r="61" spans="1:19" x14ac:dyDescent="0.25">
      <c r="A61" s="5" t="s">
        <v>62</v>
      </c>
      <c r="B61" t="s">
        <v>24</v>
      </c>
      <c r="C61" t="s">
        <v>20</v>
      </c>
      <c r="D61" t="str">
        <f t="shared" si="1"/>
        <v>Corinthians U22 x IVV/CETAF LDB U22</v>
      </c>
      <c r="E61">
        <v>24</v>
      </c>
      <c r="F61">
        <v>13</v>
      </c>
      <c r="G61" t="str">
        <f t="shared" si="4"/>
        <v>Corinthians U22</v>
      </c>
      <c r="H61">
        <f t="shared" si="2"/>
        <v>11</v>
      </c>
      <c r="I61">
        <v>77</v>
      </c>
      <c r="J61">
        <v>54</v>
      </c>
      <c r="K61">
        <v>-18.5</v>
      </c>
      <c r="L61">
        <v>1.7689999999999999</v>
      </c>
      <c r="M61">
        <v>1.909</v>
      </c>
      <c r="N61">
        <v>141.5</v>
      </c>
      <c r="O61">
        <v>1.833</v>
      </c>
      <c r="P61">
        <v>1.833</v>
      </c>
      <c r="Q61">
        <v>-5.5</v>
      </c>
      <c r="R61">
        <v>1.833</v>
      </c>
      <c r="S61">
        <v>1.833</v>
      </c>
    </row>
    <row r="62" spans="1:19" x14ac:dyDescent="0.25">
      <c r="A62" s="5" t="s">
        <v>80</v>
      </c>
      <c r="B62" t="s">
        <v>8</v>
      </c>
      <c r="C62" t="s">
        <v>11</v>
      </c>
      <c r="D62" t="str">
        <f t="shared" si="1"/>
        <v>Pinheiros U22 x ADRM/Maringa LDB U22</v>
      </c>
      <c r="E62">
        <v>24</v>
      </c>
      <c r="F62">
        <v>21</v>
      </c>
      <c r="G62" t="str">
        <f t="shared" si="4"/>
        <v>Pinheiros U22</v>
      </c>
      <c r="H62">
        <f t="shared" si="2"/>
        <v>3</v>
      </c>
      <c r="I62">
        <v>110</v>
      </c>
      <c r="J62">
        <v>59</v>
      </c>
    </row>
    <row r="63" spans="1:19" x14ac:dyDescent="0.25">
      <c r="A63" s="5" t="s">
        <v>81</v>
      </c>
      <c r="B63" t="s">
        <v>2</v>
      </c>
      <c r="C63" t="s">
        <v>5</v>
      </c>
      <c r="D63" t="str">
        <f t="shared" si="1"/>
        <v>Mogi Basquete LDB U22 x Sao Jose U22</v>
      </c>
      <c r="E63">
        <v>22</v>
      </c>
      <c r="F63">
        <v>25</v>
      </c>
      <c r="G63" t="str">
        <f t="shared" si="4"/>
        <v>Sao Jose U22</v>
      </c>
      <c r="H63">
        <f t="shared" si="2"/>
        <v>-3</v>
      </c>
      <c r="I63">
        <v>74</v>
      </c>
      <c r="J63" s="3">
        <v>87</v>
      </c>
    </row>
    <row r="64" spans="1:19" x14ac:dyDescent="0.25">
      <c r="A64" s="5" t="s">
        <v>82</v>
      </c>
      <c r="B64" t="s">
        <v>24</v>
      </c>
      <c r="C64" t="s">
        <v>30</v>
      </c>
      <c r="D64" t="str">
        <f t="shared" si="1"/>
        <v>Corinthians U22 x Soc. Thalia/SMEIJ LDB U22</v>
      </c>
      <c r="E64">
        <v>23</v>
      </c>
      <c r="F64">
        <v>16</v>
      </c>
      <c r="G64" t="str">
        <f t="shared" si="4"/>
        <v>Corinthians U22</v>
      </c>
      <c r="H64">
        <f t="shared" si="2"/>
        <v>7</v>
      </c>
      <c r="I64">
        <v>101</v>
      </c>
      <c r="J64" s="3">
        <v>71</v>
      </c>
    </row>
    <row r="65" spans="1:10" x14ac:dyDescent="0.25">
      <c r="A65" s="5" t="s">
        <v>83</v>
      </c>
      <c r="B65" t="s">
        <v>27</v>
      </c>
      <c r="C65" t="s">
        <v>21</v>
      </c>
      <c r="D65" t="str">
        <f t="shared" si="1"/>
        <v>Bauru LDB U22 x Sao Paulo LDB U22</v>
      </c>
      <c r="E65">
        <v>24</v>
      </c>
      <c r="F65">
        <v>24</v>
      </c>
      <c r="G65" t="str">
        <f t="shared" si="4"/>
        <v>Empate</v>
      </c>
      <c r="H65">
        <f t="shared" si="2"/>
        <v>0</v>
      </c>
      <c r="I65">
        <v>76</v>
      </c>
      <c r="J65" s="3">
        <v>79</v>
      </c>
    </row>
    <row r="66" spans="1:10" x14ac:dyDescent="0.25">
      <c r="A66" s="5">
        <v>45868</v>
      </c>
      <c r="B66" t="s">
        <v>18</v>
      </c>
      <c r="C66" t="s">
        <v>27</v>
      </c>
      <c r="D66" t="str">
        <f t="shared" si="1"/>
        <v>Paulistano U22 x Bauru LDB U22</v>
      </c>
      <c r="E66">
        <v>21</v>
      </c>
      <c r="F66">
        <v>7</v>
      </c>
      <c r="G66" t="str">
        <f t="shared" si="4"/>
        <v>Paulistano U22</v>
      </c>
      <c r="H66">
        <f t="shared" si="2"/>
        <v>14</v>
      </c>
      <c r="I66">
        <v>76</v>
      </c>
      <c r="J66" s="3">
        <v>55</v>
      </c>
    </row>
    <row r="67" spans="1:10" x14ac:dyDescent="0.25">
      <c r="A67" s="5">
        <v>45868</v>
      </c>
      <c r="B67" t="s">
        <v>20</v>
      </c>
      <c r="C67" t="s">
        <v>29</v>
      </c>
      <c r="D67" t="str">
        <f t="shared" ref="D67:D130" si="5">_xlfn.CONCAT(B67," x ",C67)</f>
        <v>IVV/CETAF LDB U22 x Vasco da Gama/Tijuca LDB U22</v>
      </c>
      <c r="E67">
        <v>17</v>
      </c>
      <c r="F67">
        <v>14</v>
      </c>
      <c r="G67" t="str">
        <f t="shared" si="4"/>
        <v>IVV/CETAF LDB U22</v>
      </c>
      <c r="H67">
        <f t="shared" si="2"/>
        <v>3</v>
      </c>
      <c r="I67">
        <v>63</v>
      </c>
      <c r="J67" s="3">
        <v>70</v>
      </c>
    </row>
    <row r="68" spans="1:10" x14ac:dyDescent="0.25">
      <c r="A68" s="5">
        <v>45868</v>
      </c>
      <c r="B68" t="s">
        <v>21</v>
      </c>
      <c r="C68" t="s">
        <v>24</v>
      </c>
      <c r="D68" t="str">
        <f t="shared" si="5"/>
        <v>Sao Paulo LDB U22 x Corinthians U22</v>
      </c>
      <c r="E68">
        <v>25</v>
      </c>
      <c r="F68">
        <v>32</v>
      </c>
      <c r="G68" t="str">
        <f t="shared" si="4"/>
        <v>Corinthians U22</v>
      </c>
      <c r="H68">
        <f t="shared" si="2"/>
        <v>-7</v>
      </c>
      <c r="I68">
        <v>99</v>
      </c>
      <c r="J68" s="3">
        <v>101</v>
      </c>
    </row>
    <row r="69" spans="1:10" x14ac:dyDescent="0.25">
      <c r="A69" s="5">
        <v>45868</v>
      </c>
      <c r="B69" t="s">
        <v>32</v>
      </c>
      <c r="C69" t="s">
        <v>23</v>
      </c>
      <c r="D69" t="str">
        <f t="shared" si="5"/>
        <v>Unifacisa LDB U22 x Botafogo RJ U22</v>
      </c>
      <c r="E69">
        <v>13</v>
      </c>
      <c r="F69">
        <v>38</v>
      </c>
      <c r="G69" t="str">
        <f t="shared" si="4"/>
        <v>Botafogo RJ U22</v>
      </c>
      <c r="H69">
        <f t="shared" si="2"/>
        <v>-25</v>
      </c>
      <c r="I69">
        <v>55</v>
      </c>
      <c r="J69" s="3">
        <v>116</v>
      </c>
    </row>
    <row r="70" spans="1:10" x14ac:dyDescent="0.25">
      <c r="A70" s="5">
        <v>45868</v>
      </c>
      <c r="B70" t="s">
        <v>17</v>
      </c>
      <c r="C70" t="s">
        <v>26</v>
      </c>
      <c r="D70" t="str">
        <f t="shared" si="5"/>
        <v>Flamengo U22 x Basquete Cearense LDB U22</v>
      </c>
      <c r="E70">
        <v>27</v>
      </c>
      <c r="F70">
        <v>15</v>
      </c>
      <c r="G70" t="str">
        <f t="shared" si="4"/>
        <v>Flamengo U22</v>
      </c>
      <c r="H70">
        <f t="shared" si="2"/>
        <v>12</v>
      </c>
      <c r="I70">
        <v>84</v>
      </c>
      <c r="J70" s="3">
        <v>64</v>
      </c>
    </row>
    <row r="71" spans="1:10" x14ac:dyDescent="0.25">
      <c r="A71" s="5">
        <v>45868</v>
      </c>
      <c r="B71" t="s">
        <v>4</v>
      </c>
      <c r="C71" t="s">
        <v>13</v>
      </c>
      <c r="D71" t="str">
        <f t="shared" si="5"/>
        <v>Caxias do Sul LDB U22 x Campo Mourao LDB U22</v>
      </c>
      <c r="E71">
        <v>21</v>
      </c>
      <c r="F71">
        <v>23</v>
      </c>
      <c r="G71" t="str">
        <f t="shared" si="4"/>
        <v>Campo Mourao LDB U22</v>
      </c>
      <c r="H71">
        <f t="shared" si="2"/>
        <v>-2</v>
      </c>
      <c r="I71">
        <v>72</v>
      </c>
      <c r="J71" s="3">
        <v>73</v>
      </c>
    </row>
    <row r="72" spans="1:10" x14ac:dyDescent="0.25">
      <c r="A72" s="5">
        <v>45868</v>
      </c>
      <c r="B72" t="s">
        <v>14</v>
      </c>
      <c r="C72" t="s">
        <v>2</v>
      </c>
      <c r="D72" t="str">
        <f t="shared" si="5"/>
        <v>Franca U22 x Mogi Basquete LDB U22</v>
      </c>
      <c r="E72">
        <v>20</v>
      </c>
      <c r="F72">
        <v>12</v>
      </c>
      <c r="G72" t="str">
        <f t="shared" si="4"/>
        <v>Franca U22</v>
      </c>
      <c r="H72">
        <f t="shared" si="2"/>
        <v>8</v>
      </c>
      <c r="I72">
        <v>70</v>
      </c>
      <c r="J72" s="3">
        <v>66</v>
      </c>
    </row>
    <row r="73" spans="1:10" x14ac:dyDescent="0.25">
      <c r="A73" s="5">
        <v>45868</v>
      </c>
      <c r="B73" t="s">
        <v>16</v>
      </c>
      <c r="C73" t="s">
        <v>1</v>
      </c>
      <c r="D73" t="str">
        <f t="shared" si="5"/>
        <v>Pato Basquete LDB U22 x Minas LDB U22</v>
      </c>
      <c r="E73">
        <v>7</v>
      </c>
      <c r="F73">
        <v>32</v>
      </c>
      <c r="G73" t="str">
        <f t="shared" si="4"/>
        <v>Minas LDB U22</v>
      </c>
      <c r="H73">
        <f t="shared" si="2"/>
        <v>-25</v>
      </c>
      <c r="I73">
        <v>49</v>
      </c>
      <c r="J73" s="3">
        <v>91</v>
      </c>
    </row>
    <row r="74" spans="1:10" x14ac:dyDescent="0.25">
      <c r="A74" s="5">
        <v>45868</v>
      </c>
      <c r="B74" t="s">
        <v>5</v>
      </c>
      <c r="C74" t="s">
        <v>8</v>
      </c>
      <c r="D74" t="str">
        <f t="shared" si="5"/>
        <v>Sao Jose U22 x Pinheiros U22</v>
      </c>
      <c r="E74">
        <v>9</v>
      </c>
      <c r="F74">
        <v>22</v>
      </c>
      <c r="G74" t="str">
        <f t="shared" si="4"/>
        <v>Pinheiros U22</v>
      </c>
      <c r="H74">
        <f t="shared" si="2"/>
        <v>-13</v>
      </c>
      <c r="I74">
        <v>59</v>
      </c>
      <c r="J74" s="3">
        <v>85</v>
      </c>
    </row>
    <row r="75" spans="1:10" x14ac:dyDescent="0.25">
      <c r="A75" s="5">
        <v>45868</v>
      </c>
      <c r="B75" t="s">
        <v>7</v>
      </c>
      <c r="C75" t="s">
        <v>10</v>
      </c>
      <c r="D75" t="str">
        <f t="shared" si="5"/>
        <v>Uniao Corinthians LDB U22 x BRB/Brasilia LDB U22</v>
      </c>
      <c r="E75">
        <v>17</v>
      </c>
      <c r="F75">
        <v>18</v>
      </c>
      <c r="G75" t="str">
        <f t="shared" si="4"/>
        <v>BRB/Brasilia LDB U22</v>
      </c>
      <c r="H75">
        <f t="shared" si="2"/>
        <v>-1</v>
      </c>
      <c r="I75">
        <v>77</v>
      </c>
      <c r="J75" s="3">
        <v>76</v>
      </c>
    </row>
    <row r="76" spans="1:10" x14ac:dyDescent="0.25">
      <c r="D76" t="str">
        <f t="shared" si="5"/>
        <v xml:space="preserve"> x </v>
      </c>
    </row>
    <row r="77" spans="1:10" x14ac:dyDescent="0.25">
      <c r="D77" t="str">
        <f t="shared" si="5"/>
        <v xml:space="preserve"> x </v>
      </c>
    </row>
    <row r="78" spans="1:10" x14ac:dyDescent="0.25">
      <c r="D78" t="str">
        <f t="shared" si="5"/>
        <v xml:space="preserve"> x </v>
      </c>
    </row>
    <row r="79" spans="1:10" x14ac:dyDescent="0.25">
      <c r="D79" t="str">
        <f t="shared" si="5"/>
        <v xml:space="preserve"> x </v>
      </c>
    </row>
    <row r="80" spans="1:10" x14ac:dyDescent="0.25">
      <c r="D80" t="str">
        <f t="shared" si="5"/>
        <v xml:space="preserve"> x </v>
      </c>
    </row>
    <row r="81" spans="4:4" x14ac:dyDescent="0.25">
      <c r="D81" t="str">
        <f t="shared" si="5"/>
        <v xml:space="preserve"> x </v>
      </c>
    </row>
    <row r="82" spans="4:4" x14ac:dyDescent="0.25">
      <c r="D82" t="str">
        <f t="shared" si="5"/>
        <v xml:space="preserve"> x </v>
      </c>
    </row>
    <row r="83" spans="4:4" x14ac:dyDescent="0.25">
      <c r="D83" t="str">
        <f t="shared" si="5"/>
        <v xml:space="preserve"> x </v>
      </c>
    </row>
    <row r="84" spans="4:4" x14ac:dyDescent="0.25">
      <c r="D84" t="str">
        <f t="shared" si="5"/>
        <v xml:space="preserve"> x </v>
      </c>
    </row>
    <row r="85" spans="4:4" x14ac:dyDescent="0.25">
      <c r="D85" t="str">
        <f t="shared" si="5"/>
        <v xml:space="preserve"> x </v>
      </c>
    </row>
    <row r="86" spans="4:4" x14ac:dyDescent="0.25">
      <c r="D86" t="str">
        <f t="shared" si="5"/>
        <v xml:space="preserve"> x </v>
      </c>
    </row>
    <row r="87" spans="4:4" x14ac:dyDescent="0.25">
      <c r="D87" t="str">
        <f t="shared" si="5"/>
        <v xml:space="preserve"> x </v>
      </c>
    </row>
    <row r="88" spans="4:4" x14ac:dyDescent="0.25">
      <c r="D88" t="str">
        <f t="shared" si="5"/>
        <v xml:space="preserve"> x </v>
      </c>
    </row>
    <row r="89" spans="4:4" x14ac:dyDescent="0.25">
      <c r="D89" t="str">
        <f t="shared" si="5"/>
        <v xml:space="preserve"> x </v>
      </c>
    </row>
    <row r="90" spans="4:4" x14ac:dyDescent="0.25">
      <c r="D90" t="str">
        <f t="shared" si="5"/>
        <v xml:space="preserve"> x </v>
      </c>
    </row>
    <row r="91" spans="4:4" x14ac:dyDescent="0.25">
      <c r="D91" t="str">
        <f t="shared" si="5"/>
        <v xml:space="preserve"> x </v>
      </c>
    </row>
    <row r="92" spans="4:4" x14ac:dyDescent="0.25">
      <c r="D92" t="str">
        <f t="shared" si="5"/>
        <v xml:space="preserve"> x </v>
      </c>
    </row>
    <row r="93" spans="4:4" x14ac:dyDescent="0.25">
      <c r="D93" t="str">
        <f t="shared" si="5"/>
        <v xml:space="preserve"> x </v>
      </c>
    </row>
    <row r="94" spans="4:4" x14ac:dyDescent="0.25">
      <c r="D94" t="str">
        <f t="shared" si="5"/>
        <v xml:space="preserve"> x </v>
      </c>
    </row>
    <row r="95" spans="4:4" x14ac:dyDescent="0.25">
      <c r="D95" t="str">
        <f t="shared" si="5"/>
        <v xml:space="preserve"> x </v>
      </c>
    </row>
    <row r="96" spans="4:4" x14ac:dyDescent="0.25">
      <c r="D96" t="str">
        <f t="shared" si="5"/>
        <v xml:space="preserve"> x </v>
      </c>
    </row>
    <row r="97" spans="4:4" x14ac:dyDescent="0.25">
      <c r="D97" t="str">
        <f t="shared" si="5"/>
        <v xml:space="preserve"> x </v>
      </c>
    </row>
    <row r="98" spans="4:4" x14ac:dyDescent="0.25">
      <c r="D98" t="str">
        <f t="shared" si="5"/>
        <v xml:space="preserve"> x </v>
      </c>
    </row>
    <row r="99" spans="4:4" x14ac:dyDescent="0.25">
      <c r="D99" t="str">
        <f t="shared" si="5"/>
        <v xml:space="preserve"> x </v>
      </c>
    </row>
    <row r="100" spans="4:4" x14ac:dyDescent="0.25">
      <c r="D100" t="str">
        <f t="shared" si="5"/>
        <v xml:space="preserve"> x </v>
      </c>
    </row>
    <row r="101" spans="4:4" x14ac:dyDescent="0.25">
      <c r="D101" t="str">
        <f t="shared" si="5"/>
        <v xml:space="preserve"> x </v>
      </c>
    </row>
    <row r="102" spans="4:4" x14ac:dyDescent="0.25">
      <c r="D102" t="str">
        <f t="shared" si="5"/>
        <v xml:space="preserve"> x </v>
      </c>
    </row>
    <row r="103" spans="4:4" x14ac:dyDescent="0.25">
      <c r="D103" t="str">
        <f t="shared" si="5"/>
        <v xml:space="preserve"> x </v>
      </c>
    </row>
    <row r="104" spans="4:4" x14ac:dyDescent="0.25">
      <c r="D104" t="str">
        <f t="shared" si="5"/>
        <v xml:space="preserve"> x </v>
      </c>
    </row>
    <row r="105" spans="4:4" x14ac:dyDescent="0.25">
      <c r="D105" t="str">
        <f t="shared" si="5"/>
        <v xml:space="preserve"> x </v>
      </c>
    </row>
    <row r="106" spans="4:4" x14ac:dyDescent="0.25">
      <c r="D106" t="str">
        <f t="shared" si="5"/>
        <v xml:space="preserve"> x </v>
      </c>
    </row>
    <row r="107" spans="4:4" x14ac:dyDescent="0.25">
      <c r="D107" t="str">
        <f t="shared" si="5"/>
        <v xml:space="preserve"> x </v>
      </c>
    </row>
    <row r="108" spans="4:4" x14ac:dyDescent="0.25">
      <c r="D108" t="str">
        <f t="shared" si="5"/>
        <v xml:space="preserve"> x </v>
      </c>
    </row>
    <row r="109" spans="4:4" x14ac:dyDescent="0.25">
      <c r="D109" t="str">
        <f t="shared" si="5"/>
        <v xml:space="preserve"> x </v>
      </c>
    </row>
    <row r="110" spans="4:4" x14ac:dyDescent="0.25">
      <c r="D110" t="str">
        <f t="shared" si="5"/>
        <v xml:space="preserve"> x </v>
      </c>
    </row>
    <row r="111" spans="4:4" x14ac:dyDescent="0.25">
      <c r="D111" t="str">
        <f t="shared" si="5"/>
        <v xml:space="preserve"> x </v>
      </c>
    </row>
    <row r="112" spans="4:4" x14ac:dyDescent="0.25">
      <c r="D112" t="str">
        <f t="shared" si="5"/>
        <v xml:space="preserve"> x </v>
      </c>
    </row>
    <row r="113" spans="4:4" x14ac:dyDescent="0.25">
      <c r="D113" t="str">
        <f t="shared" si="5"/>
        <v xml:space="preserve"> x </v>
      </c>
    </row>
    <row r="114" spans="4:4" x14ac:dyDescent="0.25">
      <c r="D114" t="str">
        <f t="shared" si="5"/>
        <v xml:space="preserve"> x </v>
      </c>
    </row>
    <row r="115" spans="4:4" x14ac:dyDescent="0.25">
      <c r="D115" t="str">
        <f t="shared" si="5"/>
        <v xml:space="preserve"> x </v>
      </c>
    </row>
    <row r="116" spans="4:4" x14ac:dyDescent="0.25">
      <c r="D116" t="str">
        <f t="shared" si="5"/>
        <v xml:space="preserve"> x </v>
      </c>
    </row>
    <row r="117" spans="4:4" x14ac:dyDescent="0.25">
      <c r="D117" t="str">
        <f t="shared" si="5"/>
        <v xml:space="preserve"> x </v>
      </c>
    </row>
    <row r="118" spans="4:4" x14ac:dyDescent="0.25">
      <c r="D118" t="str">
        <f t="shared" si="5"/>
        <v xml:space="preserve"> x </v>
      </c>
    </row>
    <row r="119" spans="4:4" x14ac:dyDescent="0.25">
      <c r="D119" t="str">
        <f t="shared" si="5"/>
        <v xml:space="preserve"> x </v>
      </c>
    </row>
    <row r="120" spans="4:4" x14ac:dyDescent="0.25">
      <c r="D120" t="str">
        <f t="shared" si="5"/>
        <v xml:space="preserve"> x </v>
      </c>
    </row>
    <row r="121" spans="4:4" x14ac:dyDescent="0.25">
      <c r="D121" t="str">
        <f t="shared" si="5"/>
        <v xml:space="preserve"> x </v>
      </c>
    </row>
    <row r="122" spans="4:4" x14ac:dyDescent="0.25">
      <c r="D122" t="str">
        <f t="shared" si="5"/>
        <v xml:space="preserve"> x </v>
      </c>
    </row>
    <row r="123" spans="4:4" x14ac:dyDescent="0.25">
      <c r="D123" t="str">
        <f t="shared" si="5"/>
        <v xml:space="preserve"> x </v>
      </c>
    </row>
    <row r="124" spans="4:4" x14ac:dyDescent="0.25">
      <c r="D124" t="str">
        <f t="shared" si="5"/>
        <v xml:space="preserve"> x </v>
      </c>
    </row>
    <row r="125" spans="4:4" x14ac:dyDescent="0.25">
      <c r="D125" t="str">
        <f t="shared" si="5"/>
        <v xml:space="preserve"> x </v>
      </c>
    </row>
    <row r="126" spans="4:4" x14ac:dyDescent="0.25">
      <c r="D126" t="str">
        <f t="shared" si="5"/>
        <v xml:space="preserve"> x </v>
      </c>
    </row>
    <row r="127" spans="4:4" x14ac:dyDescent="0.25">
      <c r="D127" t="str">
        <f t="shared" si="5"/>
        <v xml:space="preserve"> x </v>
      </c>
    </row>
    <row r="128" spans="4:4" x14ac:dyDescent="0.25">
      <c r="D128" t="str">
        <f t="shared" si="5"/>
        <v xml:space="preserve"> x </v>
      </c>
    </row>
    <row r="129" spans="4:4" x14ac:dyDescent="0.25">
      <c r="D129" t="str">
        <f t="shared" si="5"/>
        <v xml:space="preserve"> x </v>
      </c>
    </row>
    <row r="130" spans="4:4" x14ac:dyDescent="0.25">
      <c r="D130" t="str">
        <f t="shared" si="5"/>
        <v xml:space="preserve"> x </v>
      </c>
    </row>
    <row r="131" spans="4:4" x14ac:dyDescent="0.25">
      <c r="D131" t="str">
        <f t="shared" ref="D131:D194" si="6">_xlfn.CONCAT(B131," x ",C131)</f>
        <v xml:space="preserve"> x </v>
      </c>
    </row>
    <row r="132" spans="4:4" x14ac:dyDescent="0.25">
      <c r="D132" t="str">
        <f t="shared" si="6"/>
        <v xml:space="preserve"> x </v>
      </c>
    </row>
    <row r="133" spans="4:4" x14ac:dyDescent="0.25">
      <c r="D133" t="str">
        <f t="shared" si="6"/>
        <v xml:space="preserve"> x </v>
      </c>
    </row>
    <row r="134" spans="4:4" x14ac:dyDescent="0.25">
      <c r="D134" t="str">
        <f t="shared" si="6"/>
        <v xml:space="preserve"> x </v>
      </c>
    </row>
    <row r="135" spans="4:4" x14ac:dyDescent="0.25">
      <c r="D135" t="str">
        <f t="shared" si="6"/>
        <v xml:space="preserve"> x </v>
      </c>
    </row>
    <row r="136" spans="4:4" x14ac:dyDescent="0.25">
      <c r="D136" t="str">
        <f t="shared" si="6"/>
        <v xml:space="preserve"> x </v>
      </c>
    </row>
    <row r="137" spans="4:4" x14ac:dyDescent="0.25">
      <c r="D137" t="str">
        <f t="shared" si="6"/>
        <v xml:space="preserve"> x </v>
      </c>
    </row>
    <row r="138" spans="4:4" x14ac:dyDescent="0.25">
      <c r="D138" t="str">
        <f t="shared" si="6"/>
        <v xml:space="preserve"> x </v>
      </c>
    </row>
    <row r="139" spans="4:4" x14ac:dyDescent="0.25">
      <c r="D139" t="str">
        <f t="shared" si="6"/>
        <v xml:space="preserve"> x </v>
      </c>
    </row>
    <row r="140" spans="4:4" x14ac:dyDescent="0.25">
      <c r="D140" t="str">
        <f t="shared" si="6"/>
        <v xml:space="preserve"> x </v>
      </c>
    </row>
    <row r="141" spans="4:4" x14ac:dyDescent="0.25">
      <c r="D141" t="str">
        <f t="shared" si="6"/>
        <v xml:space="preserve"> x </v>
      </c>
    </row>
    <row r="142" spans="4:4" x14ac:dyDescent="0.25">
      <c r="D142" t="str">
        <f t="shared" si="6"/>
        <v xml:space="preserve"> x </v>
      </c>
    </row>
    <row r="143" spans="4:4" x14ac:dyDescent="0.25">
      <c r="D143" t="str">
        <f t="shared" si="6"/>
        <v xml:space="preserve"> x </v>
      </c>
    </row>
    <row r="144" spans="4:4" x14ac:dyDescent="0.25">
      <c r="D144" t="str">
        <f t="shared" si="6"/>
        <v xml:space="preserve"> x </v>
      </c>
    </row>
    <row r="145" spans="4:4" x14ac:dyDescent="0.25">
      <c r="D145" t="str">
        <f t="shared" si="6"/>
        <v xml:space="preserve"> x </v>
      </c>
    </row>
    <row r="146" spans="4:4" x14ac:dyDescent="0.25">
      <c r="D146" t="str">
        <f t="shared" si="6"/>
        <v xml:space="preserve"> x </v>
      </c>
    </row>
    <row r="147" spans="4:4" x14ac:dyDescent="0.25">
      <c r="D147" t="str">
        <f t="shared" si="6"/>
        <v xml:space="preserve"> x </v>
      </c>
    </row>
    <row r="148" spans="4:4" x14ac:dyDescent="0.25">
      <c r="D148" t="str">
        <f t="shared" si="6"/>
        <v xml:space="preserve"> x </v>
      </c>
    </row>
    <row r="149" spans="4:4" x14ac:dyDescent="0.25">
      <c r="D149" t="str">
        <f t="shared" si="6"/>
        <v xml:space="preserve"> x </v>
      </c>
    </row>
    <row r="150" spans="4:4" x14ac:dyDescent="0.25">
      <c r="D150" t="str">
        <f t="shared" si="6"/>
        <v xml:space="preserve"> x </v>
      </c>
    </row>
    <row r="151" spans="4:4" x14ac:dyDescent="0.25">
      <c r="D151" t="str">
        <f t="shared" si="6"/>
        <v xml:space="preserve"> x </v>
      </c>
    </row>
    <row r="152" spans="4:4" x14ac:dyDescent="0.25">
      <c r="D152" t="str">
        <f t="shared" si="6"/>
        <v xml:space="preserve"> x </v>
      </c>
    </row>
    <row r="153" spans="4:4" x14ac:dyDescent="0.25">
      <c r="D153" t="str">
        <f t="shared" si="6"/>
        <v xml:space="preserve"> x </v>
      </c>
    </row>
    <row r="154" spans="4:4" x14ac:dyDescent="0.25">
      <c r="D154" t="str">
        <f t="shared" si="6"/>
        <v xml:space="preserve"> x </v>
      </c>
    </row>
    <row r="155" spans="4:4" x14ac:dyDescent="0.25">
      <c r="D155" t="str">
        <f t="shared" si="6"/>
        <v xml:space="preserve"> x </v>
      </c>
    </row>
    <row r="156" spans="4:4" x14ac:dyDescent="0.25">
      <c r="D156" t="str">
        <f t="shared" si="6"/>
        <v xml:space="preserve"> x </v>
      </c>
    </row>
    <row r="157" spans="4:4" x14ac:dyDescent="0.25">
      <c r="D157" t="str">
        <f t="shared" si="6"/>
        <v xml:space="preserve"> x </v>
      </c>
    </row>
    <row r="158" spans="4:4" x14ac:dyDescent="0.25">
      <c r="D158" t="str">
        <f t="shared" si="6"/>
        <v xml:space="preserve"> x </v>
      </c>
    </row>
    <row r="159" spans="4:4" x14ac:dyDescent="0.25">
      <c r="D159" t="str">
        <f t="shared" si="6"/>
        <v xml:space="preserve"> x </v>
      </c>
    </row>
    <row r="160" spans="4:4" x14ac:dyDescent="0.25">
      <c r="D160" t="str">
        <f t="shared" si="6"/>
        <v xml:space="preserve"> x </v>
      </c>
    </row>
    <row r="161" spans="4:4" x14ac:dyDescent="0.25">
      <c r="D161" t="str">
        <f t="shared" si="6"/>
        <v xml:space="preserve"> x </v>
      </c>
    </row>
    <row r="162" spans="4:4" x14ac:dyDescent="0.25">
      <c r="D162" t="str">
        <f t="shared" si="6"/>
        <v xml:space="preserve"> x </v>
      </c>
    </row>
    <row r="163" spans="4:4" x14ac:dyDescent="0.25">
      <c r="D163" t="str">
        <f t="shared" si="6"/>
        <v xml:space="preserve"> x </v>
      </c>
    </row>
    <row r="164" spans="4:4" x14ac:dyDescent="0.25">
      <c r="D164" t="str">
        <f t="shared" si="6"/>
        <v xml:space="preserve"> x </v>
      </c>
    </row>
    <row r="165" spans="4:4" x14ac:dyDescent="0.25">
      <c r="D165" t="str">
        <f t="shared" si="6"/>
        <v xml:space="preserve"> x </v>
      </c>
    </row>
    <row r="166" spans="4:4" x14ac:dyDescent="0.25">
      <c r="D166" t="str">
        <f t="shared" si="6"/>
        <v xml:space="preserve"> x </v>
      </c>
    </row>
    <row r="167" spans="4:4" x14ac:dyDescent="0.25">
      <c r="D167" t="str">
        <f t="shared" si="6"/>
        <v xml:space="preserve"> x </v>
      </c>
    </row>
    <row r="168" spans="4:4" x14ac:dyDescent="0.25">
      <c r="D168" t="str">
        <f t="shared" si="6"/>
        <v xml:space="preserve"> x </v>
      </c>
    </row>
    <row r="169" spans="4:4" x14ac:dyDescent="0.25">
      <c r="D169" t="str">
        <f t="shared" si="6"/>
        <v xml:space="preserve"> x </v>
      </c>
    </row>
    <row r="170" spans="4:4" x14ac:dyDescent="0.25">
      <c r="D170" t="str">
        <f t="shared" si="6"/>
        <v xml:space="preserve"> x </v>
      </c>
    </row>
    <row r="171" spans="4:4" x14ac:dyDescent="0.25">
      <c r="D171" t="str">
        <f t="shared" si="6"/>
        <v xml:space="preserve"> x </v>
      </c>
    </row>
    <row r="172" spans="4:4" x14ac:dyDescent="0.25">
      <c r="D172" t="str">
        <f t="shared" si="6"/>
        <v xml:space="preserve"> x </v>
      </c>
    </row>
    <row r="173" spans="4:4" x14ac:dyDescent="0.25">
      <c r="D173" t="str">
        <f t="shared" si="6"/>
        <v xml:space="preserve"> x </v>
      </c>
    </row>
    <row r="174" spans="4:4" x14ac:dyDescent="0.25">
      <c r="D174" t="str">
        <f t="shared" si="6"/>
        <v xml:space="preserve"> x </v>
      </c>
    </row>
    <row r="175" spans="4:4" x14ac:dyDescent="0.25">
      <c r="D175" t="str">
        <f t="shared" si="6"/>
        <v xml:space="preserve"> x </v>
      </c>
    </row>
    <row r="176" spans="4:4" x14ac:dyDescent="0.25">
      <c r="D176" t="str">
        <f t="shared" si="6"/>
        <v xml:space="preserve"> x </v>
      </c>
    </row>
    <row r="177" spans="4:4" x14ac:dyDescent="0.25">
      <c r="D177" t="str">
        <f t="shared" si="6"/>
        <v xml:space="preserve"> x </v>
      </c>
    </row>
    <row r="178" spans="4:4" x14ac:dyDescent="0.25">
      <c r="D178" t="str">
        <f t="shared" si="6"/>
        <v xml:space="preserve"> x </v>
      </c>
    </row>
    <row r="179" spans="4:4" x14ac:dyDescent="0.25">
      <c r="D179" t="str">
        <f t="shared" si="6"/>
        <v xml:space="preserve"> x </v>
      </c>
    </row>
    <row r="180" spans="4:4" x14ac:dyDescent="0.25">
      <c r="D180" t="str">
        <f t="shared" si="6"/>
        <v xml:space="preserve"> x </v>
      </c>
    </row>
    <row r="181" spans="4:4" x14ac:dyDescent="0.25">
      <c r="D181" t="str">
        <f t="shared" si="6"/>
        <v xml:space="preserve"> x </v>
      </c>
    </row>
    <row r="182" spans="4:4" x14ac:dyDescent="0.25">
      <c r="D182" t="str">
        <f t="shared" si="6"/>
        <v xml:space="preserve"> x </v>
      </c>
    </row>
    <row r="183" spans="4:4" x14ac:dyDescent="0.25">
      <c r="D183" t="str">
        <f t="shared" si="6"/>
        <v xml:space="preserve"> x </v>
      </c>
    </row>
    <row r="184" spans="4:4" x14ac:dyDescent="0.25">
      <c r="D184" t="str">
        <f t="shared" si="6"/>
        <v xml:space="preserve"> x </v>
      </c>
    </row>
    <row r="185" spans="4:4" x14ac:dyDescent="0.25">
      <c r="D185" t="str">
        <f t="shared" si="6"/>
        <v xml:space="preserve"> x </v>
      </c>
    </row>
    <row r="186" spans="4:4" x14ac:dyDescent="0.25">
      <c r="D186" t="str">
        <f t="shared" si="6"/>
        <v xml:space="preserve"> x </v>
      </c>
    </row>
    <row r="187" spans="4:4" x14ac:dyDescent="0.25">
      <c r="D187" t="str">
        <f t="shared" si="6"/>
        <v xml:space="preserve"> x </v>
      </c>
    </row>
    <row r="188" spans="4:4" x14ac:dyDescent="0.25">
      <c r="D188" t="str">
        <f t="shared" si="6"/>
        <v xml:space="preserve"> x </v>
      </c>
    </row>
    <row r="189" spans="4:4" x14ac:dyDescent="0.25">
      <c r="D189" t="str">
        <f t="shared" si="6"/>
        <v xml:space="preserve"> x </v>
      </c>
    </row>
    <row r="190" spans="4:4" x14ac:dyDescent="0.25">
      <c r="D190" t="str">
        <f t="shared" si="6"/>
        <v xml:space="preserve"> x </v>
      </c>
    </row>
    <row r="191" spans="4:4" x14ac:dyDescent="0.25">
      <c r="D191" t="str">
        <f t="shared" si="6"/>
        <v xml:space="preserve"> x </v>
      </c>
    </row>
    <row r="192" spans="4:4" x14ac:dyDescent="0.25">
      <c r="D192" t="str">
        <f t="shared" si="6"/>
        <v xml:space="preserve"> x </v>
      </c>
    </row>
    <row r="193" spans="4:4" x14ac:dyDescent="0.25">
      <c r="D193" t="str">
        <f t="shared" si="6"/>
        <v xml:space="preserve"> x </v>
      </c>
    </row>
    <row r="194" spans="4:4" x14ac:dyDescent="0.25">
      <c r="D194" t="str">
        <f t="shared" si="6"/>
        <v xml:space="preserve"> x </v>
      </c>
    </row>
    <row r="195" spans="4:4" x14ac:dyDescent="0.25">
      <c r="D195" t="str">
        <f t="shared" ref="D195:D258" si="7">_xlfn.CONCAT(B195," x ",C195)</f>
        <v xml:space="preserve"> x </v>
      </c>
    </row>
    <row r="196" spans="4:4" x14ac:dyDescent="0.25">
      <c r="D196" t="str">
        <f t="shared" si="7"/>
        <v xml:space="preserve"> x </v>
      </c>
    </row>
    <row r="197" spans="4:4" x14ac:dyDescent="0.25">
      <c r="D197" t="str">
        <f t="shared" si="7"/>
        <v xml:space="preserve"> x </v>
      </c>
    </row>
    <row r="198" spans="4:4" x14ac:dyDescent="0.25">
      <c r="D198" t="str">
        <f t="shared" si="7"/>
        <v xml:space="preserve"> x </v>
      </c>
    </row>
    <row r="199" spans="4:4" x14ac:dyDescent="0.25">
      <c r="D199" t="str">
        <f t="shared" si="7"/>
        <v xml:space="preserve"> x </v>
      </c>
    </row>
    <row r="200" spans="4:4" x14ac:dyDescent="0.25">
      <c r="D200" t="str">
        <f t="shared" si="7"/>
        <v xml:space="preserve"> x </v>
      </c>
    </row>
    <row r="201" spans="4:4" x14ac:dyDescent="0.25">
      <c r="D201" t="str">
        <f t="shared" si="7"/>
        <v xml:space="preserve"> x </v>
      </c>
    </row>
    <row r="202" spans="4:4" x14ac:dyDescent="0.25">
      <c r="D202" t="str">
        <f t="shared" si="7"/>
        <v xml:space="preserve"> x </v>
      </c>
    </row>
    <row r="203" spans="4:4" x14ac:dyDescent="0.25">
      <c r="D203" t="str">
        <f t="shared" si="7"/>
        <v xml:space="preserve"> x </v>
      </c>
    </row>
    <row r="204" spans="4:4" x14ac:dyDescent="0.25">
      <c r="D204" t="str">
        <f t="shared" si="7"/>
        <v xml:space="preserve"> x </v>
      </c>
    </row>
    <row r="205" spans="4:4" x14ac:dyDescent="0.25">
      <c r="D205" t="str">
        <f t="shared" si="7"/>
        <v xml:space="preserve"> x </v>
      </c>
    </row>
    <row r="206" spans="4:4" x14ac:dyDescent="0.25">
      <c r="D206" t="str">
        <f t="shared" si="7"/>
        <v xml:space="preserve"> x </v>
      </c>
    </row>
    <row r="207" spans="4:4" x14ac:dyDescent="0.25">
      <c r="D207" t="str">
        <f t="shared" si="7"/>
        <v xml:space="preserve"> x </v>
      </c>
    </row>
    <row r="208" spans="4:4" x14ac:dyDescent="0.25">
      <c r="D208" t="str">
        <f t="shared" si="7"/>
        <v xml:space="preserve"> x </v>
      </c>
    </row>
    <row r="209" spans="4:4" x14ac:dyDescent="0.25">
      <c r="D209" t="str">
        <f t="shared" si="7"/>
        <v xml:space="preserve"> x </v>
      </c>
    </row>
    <row r="210" spans="4:4" x14ac:dyDescent="0.25">
      <c r="D210" t="str">
        <f t="shared" si="7"/>
        <v xml:space="preserve"> x </v>
      </c>
    </row>
    <row r="211" spans="4:4" x14ac:dyDescent="0.25">
      <c r="D211" t="str">
        <f t="shared" si="7"/>
        <v xml:space="preserve"> x </v>
      </c>
    </row>
    <row r="212" spans="4:4" x14ac:dyDescent="0.25">
      <c r="D212" t="str">
        <f t="shared" si="7"/>
        <v xml:space="preserve"> x </v>
      </c>
    </row>
    <row r="213" spans="4:4" x14ac:dyDescent="0.25">
      <c r="D213" t="str">
        <f t="shared" si="7"/>
        <v xml:space="preserve"> x </v>
      </c>
    </row>
    <row r="214" spans="4:4" x14ac:dyDescent="0.25">
      <c r="D214" t="str">
        <f t="shared" si="7"/>
        <v xml:space="preserve"> x </v>
      </c>
    </row>
    <row r="215" spans="4:4" x14ac:dyDescent="0.25">
      <c r="D215" t="str">
        <f t="shared" si="7"/>
        <v xml:space="preserve"> x </v>
      </c>
    </row>
    <row r="216" spans="4:4" x14ac:dyDescent="0.25">
      <c r="D216" t="str">
        <f t="shared" si="7"/>
        <v xml:space="preserve"> x </v>
      </c>
    </row>
    <row r="217" spans="4:4" x14ac:dyDescent="0.25">
      <c r="D217" t="str">
        <f t="shared" si="7"/>
        <v xml:space="preserve"> x </v>
      </c>
    </row>
    <row r="218" spans="4:4" x14ac:dyDescent="0.25">
      <c r="D218" t="str">
        <f t="shared" si="7"/>
        <v xml:space="preserve"> x </v>
      </c>
    </row>
    <row r="219" spans="4:4" x14ac:dyDescent="0.25">
      <c r="D219" t="str">
        <f t="shared" si="7"/>
        <v xml:space="preserve"> x </v>
      </c>
    </row>
    <row r="220" spans="4:4" x14ac:dyDescent="0.25">
      <c r="D220" t="str">
        <f t="shared" si="7"/>
        <v xml:space="preserve"> x </v>
      </c>
    </row>
    <row r="221" spans="4:4" x14ac:dyDescent="0.25">
      <c r="D221" t="str">
        <f t="shared" si="7"/>
        <v xml:space="preserve"> x </v>
      </c>
    </row>
    <row r="222" spans="4:4" x14ac:dyDescent="0.25">
      <c r="D222" t="str">
        <f t="shared" si="7"/>
        <v xml:space="preserve"> x </v>
      </c>
    </row>
    <row r="223" spans="4:4" x14ac:dyDescent="0.25">
      <c r="D223" t="str">
        <f t="shared" si="7"/>
        <v xml:space="preserve"> x </v>
      </c>
    </row>
    <row r="224" spans="4:4" x14ac:dyDescent="0.25">
      <c r="D224" t="str">
        <f t="shared" si="7"/>
        <v xml:space="preserve"> x </v>
      </c>
    </row>
    <row r="225" spans="4:4" x14ac:dyDescent="0.25">
      <c r="D225" t="str">
        <f t="shared" si="7"/>
        <v xml:space="preserve"> x </v>
      </c>
    </row>
    <row r="226" spans="4:4" x14ac:dyDescent="0.25">
      <c r="D226" t="str">
        <f t="shared" si="7"/>
        <v xml:space="preserve"> x </v>
      </c>
    </row>
    <row r="227" spans="4:4" x14ac:dyDescent="0.25">
      <c r="D227" t="str">
        <f t="shared" si="7"/>
        <v xml:space="preserve"> x </v>
      </c>
    </row>
    <row r="228" spans="4:4" x14ac:dyDescent="0.25">
      <c r="D228" t="str">
        <f t="shared" si="7"/>
        <v xml:space="preserve"> x </v>
      </c>
    </row>
    <row r="229" spans="4:4" x14ac:dyDescent="0.25">
      <c r="D229" t="str">
        <f t="shared" si="7"/>
        <v xml:space="preserve"> x </v>
      </c>
    </row>
    <row r="230" spans="4:4" x14ac:dyDescent="0.25">
      <c r="D230" t="str">
        <f t="shared" si="7"/>
        <v xml:space="preserve"> x </v>
      </c>
    </row>
    <row r="231" spans="4:4" x14ac:dyDescent="0.25">
      <c r="D231" t="str">
        <f t="shared" si="7"/>
        <v xml:space="preserve"> x </v>
      </c>
    </row>
    <row r="232" spans="4:4" x14ac:dyDescent="0.25">
      <c r="D232" t="str">
        <f t="shared" si="7"/>
        <v xml:space="preserve"> x </v>
      </c>
    </row>
    <row r="233" spans="4:4" x14ac:dyDescent="0.25">
      <c r="D233" t="str">
        <f t="shared" si="7"/>
        <v xml:space="preserve"> x </v>
      </c>
    </row>
    <row r="234" spans="4:4" x14ac:dyDescent="0.25">
      <c r="D234" t="str">
        <f t="shared" si="7"/>
        <v xml:space="preserve"> x </v>
      </c>
    </row>
    <row r="235" spans="4:4" x14ac:dyDescent="0.25">
      <c r="D235" t="str">
        <f t="shared" si="7"/>
        <v xml:space="preserve"> x </v>
      </c>
    </row>
    <row r="236" spans="4:4" x14ac:dyDescent="0.25">
      <c r="D236" t="str">
        <f t="shared" si="7"/>
        <v xml:space="preserve"> x </v>
      </c>
    </row>
    <row r="237" spans="4:4" x14ac:dyDescent="0.25">
      <c r="D237" t="str">
        <f t="shared" si="7"/>
        <v xml:space="preserve"> x </v>
      </c>
    </row>
    <row r="238" spans="4:4" x14ac:dyDescent="0.25">
      <c r="D238" t="str">
        <f t="shared" si="7"/>
        <v xml:space="preserve"> x </v>
      </c>
    </row>
    <row r="239" spans="4:4" x14ac:dyDescent="0.25">
      <c r="D239" t="str">
        <f t="shared" si="7"/>
        <v xml:space="preserve"> x </v>
      </c>
    </row>
    <row r="240" spans="4:4" x14ac:dyDescent="0.25">
      <c r="D240" t="str">
        <f t="shared" si="7"/>
        <v xml:space="preserve"> x </v>
      </c>
    </row>
    <row r="241" spans="4:4" x14ac:dyDescent="0.25">
      <c r="D241" t="str">
        <f t="shared" si="7"/>
        <v xml:space="preserve"> x </v>
      </c>
    </row>
    <row r="242" spans="4:4" x14ac:dyDescent="0.25">
      <c r="D242" t="str">
        <f t="shared" si="7"/>
        <v xml:space="preserve"> x </v>
      </c>
    </row>
    <row r="243" spans="4:4" x14ac:dyDescent="0.25">
      <c r="D243" t="str">
        <f t="shared" si="7"/>
        <v xml:space="preserve"> x </v>
      </c>
    </row>
    <row r="244" spans="4:4" x14ac:dyDescent="0.25">
      <c r="D244" t="str">
        <f t="shared" si="7"/>
        <v xml:space="preserve"> x </v>
      </c>
    </row>
    <row r="245" spans="4:4" x14ac:dyDescent="0.25">
      <c r="D245" t="str">
        <f t="shared" si="7"/>
        <v xml:space="preserve"> x </v>
      </c>
    </row>
    <row r="246" spans="4:4" x14ac:dyDescent="0.25">
      <c r="D246" t="str">
        <f t="shared" si="7"/>
        <v xml:space="preserve"> x </v>
      </c>
    </row>
    <row r="247" spans="4:4" x14ac:dyDescent="0.25">
      <c r="D247" t="str">
        <f t="shared" si="7"/>
        <v xml:space="preserve"> x </v>
      </c>
    </row>
    <row r="248" spans="4:4" x14ac:dyDescent="0.25">
      <c r="D248" t="str">
        <f t="shared" si="7"/>
        <v xml:space="preserve"> x </v>
      </c>
    </row>
    <row r="249" spans="4:4" x14ac:dyDescent="0.25">
      <c r="D249" t="str">
        <f t="shared" si="7"/>
        <v xml:space="preserve"> x </v>
      </c>
    </row>
    <row r="250" spans="4:4" x14ac:dyDescent="0.25">
      <c r="D250" t="str">
        <f t="shared" si="7"/>
        <v xml:space="preserve"> x </v>
      </c>
    </row>
    <row r="251" spans="4:4" x14ac:dyDescent="0.25">
      <c r="D251" t="str">
        <f t="shared" si="7"/>
        <v xml:space="preserve"> x </v>
      </c>
    </row>
    <row r="252" spans="4:4" x14ac:dyDescent="0.25">
      <c r="D252" t="str">
        <f t="shared" si="7"/>
        <v xml:space="preserve"> x </v>
      </c>
    </row>
    <row r="253" spans="4:4" x14ac:dyDescent="0.25">
      <c r="D253" t="str">
        <f t="shared" si="7"/>
        <v xml:space="preserve"> x </v>
      </c>
    </row>
    <row r="254" spans="4:4" x14ac:dyDescent="0.25">
      <c r="D254" t="str">
        <f t="shared" si="7"/>
        <v xml:space="preserve"> x </v>
      </c>
    </row>
    <row r="255" spans="4:4" x14ac:dyDescent="0.25">
      <c r="D255" t="str">
        <f t="shared" si="7"/>
        <v xml:space="preserve"> x </v>
      </c>
    </row>
    <row r="256" spans="4:4" x14ac:dyDescent="0.25">
      <c r="D256" t="str">
        <f t="shared" si="7"/>
        <v xml:space="preserve"> x </v>
      </c>
    </row>
    <row r="257" spans="4:4" x14ac:dyDescent="0.25">
      <c r="D257" t="str">
        <f t="shared" si="7"/>
        <v xml:space="preserve"> x </v>
      </c>
    </row>
    <row r="258" spans="4:4" x14ac:dyDescent="0.25">
      <c r="D258" t="str">
        <f t="shared" si="7"/>
        <v xml:space="preserve"> x </v>
      </c>
    </row>
    <row r="259" spans="4:4" x14ac:dyDescent="0.25">
      <c r="D259" t="str">
        <f t="shared" ref="D259:D322" si="8">_xlfn.CONCAT(B259," x ",C259)</f>
        <v xml:space="preserve"> x </v>
      </c>
    </row>
    <row r="260" spans="4:4" x14ac:dyDescent="0.25">
      <c r="D260" t="str">
        <f t="shared" si="8"/>
        <v xml:space="preserve"> x </v>
      </c>
    </row>
    <row r="261" spans="4:4" x14ac:dyDescent="0.25">
      <c r="D261" t="str">
        <f t="shared" si="8"/>
        <v xml:space="preserve"> x </v>
      </c>
    </row>
    <row r="262" spans="4:4" x14ac:dyDescent="0.25">
      <c r="D262" t="str">
        <f t="shared" si="8"/>
        <v xml:space="preserve"> x </v>
      </c>
    </row>
    <row r="263" spans="4:4" x14ac:dyDescent="0.25">
      <c r="D263" t="str">
        <f t="shared" si="8"/>
        <v xml:space="preserve"> x </v>
      </c>
    </row>
    <row r="264" spans="4:4" x14ac:dyDescent="0.25">
      <c r="D264" t="str">
        <f t="shared" si="8"/>
        <v xml:space="preserve"> x </v>
      </c>
    </row>
    <row r="265" spans="4:4" x14ac:dyDescent="0.25">
      <c r="D265" t="str">
        <f t="shared" si="8"/>
        <v xml:space="preserve"> x </v>
      </c>
    </row>
    <row r="266" spans="4:4" x14ac:dyDescent="0.25">
      <c r="D266" t="str">
        <f t="shared" si="8"/>
        <v xml:space="preserve"> x </v>
      </c>
    </row>
    <row r="267" spans="4:4" x14ac:dyDescent="0.25">
      <c r="D267" t="str">
        <f t="shared" si="8"/>
        <v xml:space="preserve"> x </v>
      </c>
    </row>
    <row r="268" spans="4:4" x14ac:dyDescent="0.25">
      <c r="D268" t="str">
        <f t="shared" si="8"/>
        <v xml:space="preserve"> x </v>
      </c>
    </row>
    <row r="269" spans="4:4" x14ac:dyDescent="0.25">
      <c r="D269" t="str">
        <f t="shared" si="8"/>
        <v xml:space="preserve"> x </v>
      </c>
    </row>
    <row r="270" spans="4:4" x14ac:dyDescent="0.25">
      <c r="D270" t="str">
        <f t="shared" si="8"/>
        <v xml:space="preserve"> x </v>
      </c>
    </row>
    <row r="271" spans="4:4" x14ac:dyDescent="0.25">
      <c r="D271" t="str">
        <f t="shared" si="8"/>
        <v xml:space="preserve"> x </v>
      </c>
    </row>
    <row r="272" spans="4:4" x14ac:dyDescent="0.25">
      <c r="D272" t="str">
        <f t="shared" si="8"/>
        <v xml:space="preserve"> x </v>
      </c>
    </row>
    <row r="273" spans="4:4" x14ac:dyDescent="0.25">
      <c r="D273" t="str">
        <f t="shared" si="8"/>
        <v xml:space="preserve"> x </v>
      </c>
    </row>
    <row r="274" spans="4:4" x14ac:dyDescent="0.25">
      <c r="D274" t="str">
        <f t="shared" si="8"/>
        <v xml:space="preserve"> x </v>
      </c>
    </row>
    <row r="275" spans="4:4" x14ac:dyDescent="0.25">
      <c r="D275" t="str">
        <f t="shared" si="8"/>
        <v xml:space="preserve"> x </v>
      </c>
    </row>
    <row r="276" spans="4:4" x14ac:dyDescent="0.25">
      <c r="D276" t="str">
        <f t="shared" si="8"/>
        <v xml:space="preserve"> x </v>
      </c>
    </row>
    <row r="277" spans="4:4" x14ac:dyDescent="0.25">
      <c r="D277" t="str">
        <f t="shared" si="8"/>
        <v xml:space="preserve"> x </v>
      </c>
    </row>
    <row r="278" spans="4:4" x14ac:dyDescent="0.25">
      <c r="D278" t="str">
        <f t="shared" si="8"/>
        <v xml:space="preserve"> x </v>
      </c>
    </row>
    <row r="279" spans="4:4" x14ac:dyDescent="0.25">
      <c r="D279" t="str">
        <f t="shared" si="8"/>
        <v xml:space="preserve"> x </v>
      </c>
    </row>
    <row r="280" spans="4:4" x14ac:dyDescent="0.25">
      <c r="D280" t="str">
        <f t="shared" si="8"/>
        <v xml:space="preserve"> x </v>
      </c>
    </row>
    <row r="281" spans="4:4" x14ac:dyDescent="0.25">
      <c r="D281" t="str">
        <f t="shared" si="8"/>
        <v xml:space="preserve"> x </v>
      </c>
    </row>
    <row r="282" spans="4:4" x14ac:dyDescent="0.25">
      <c r="D282" t="str">
        <f t="shared" si="8"/>
        <v xml:space="preserve"> x </v>
      </c>
    </row>
    <row r="283" spans="4:4" x14ac:dyDescent="0.25">
      <c r="D283" t="str">
        <f t="shared" si="8"/>
        <v xml:space="preserve"> x </v>
      </c>
    </row>
    <row r="284" spans="4:4" x14ac:dyDescent="0.25">
      <c r="D284" t="str">
        <f t="shared" si="8"/>
        <v xml:space="preserve"> x </v>
      </c>
    </row>
    <row r="285" spans="4:4" x14ac:dyDescent="0.25">
      <c r="D285" t="str">
        <f t="shared" si="8"/>
        <v xml:space="preserve"> x </v>
      </c>
    </row>
    <row r="286" spans="4:4" x14ac:dyDescent="0.25">
      <c r="D286" t="str">
        <f t="shared" si="8"/>
        <v xml:space="preserve"> x </v>
      </c>
    </row>
    <row r="287" spans="4:4" x14ac:dyDescent="0.25">
      <c r="D287" t="str">
        <f t="shared" si="8"/>
        <v xml:space="preserve"> x </v>
      </c>
    </row>
    <row r="288" spans="4:4" x14ac:dyDescent="0.25">
      <c r="D288" t="str">
        <f t="shared" si="8"/>
        <v xml:space="preserve"> x </v>
      </c>
    </row>
    <row r="289" spans="4:4" x14ac:dyDescent="0.25">
      <c r="D289" t="str">
        <f t="shared" si="8"/>
        <v xml:space="preserve"> x </v>
      </c>
    </row>
    <row r="290" spans="4:4" x14ac:dyDescent="0.25">
      <c r="D290" t="str">
        <f t="shared" si="8"/>
        <v xml:space="preserve"> x </v>
      </c>
    </row>
    <row r="291" spans="4:4" x14ac:dyDescent="0.25">
      <c r="D291" t="str">
        <f t="shared" si="8"/>
        <v xml:space="preserve"> x </v>
      </c>
    </row>
    <row r="292" spans="4:4" x14ac:dyDescent="0.25">
      <c r="D292" t="str">
        <f t="shared" si="8"/>
        <v xml:space="preserve"> x </v>
      </c>
    </row>
    <row r="293" spans="4:4" x14ac:dyDescent="0.25">
      <c r="D293" t="str">
        <f t="shared" si="8"/>
        <v xml:space="preserve"> x </v>
      </c>
    </row>
    <row r="294" spans="4:4" x14ac:dyDescent="0.25">
      <c r="D294" t="str">
        <f t="shared" si="8"/>
        <v xml:space="preserve"> x </v>
      </c>
    </row>
    <row r="295" spans="4:4" x14ac:dyDescent="0.25">
      <c r="D295" t="str">
        <f t="shared" si="8"/>
        <v xml:space="preserve"> x </v>
      </c>
    </row>
    <row r="296" spans="4:4" x14ac:dyDescent="0.25">
      <c r="D296" t="str">
        <f t="shared" si="8"/>
        <v xml:space="preserve"> x </v>
      </c>
    </row>
    <row r="297" spans="4:4" x14ac:dyDescent="0.25">
      <c r="D297" t="str">
        <f t="shared" si="8"/>
        <v xml:space="preserve"> x </v>
      </c>
    </row>
    <row r="298" spans="4:4" x14ac:dyDescent="0.25">
      <c r="D298" t="str">
        <f t="shared" si="8"/>
        <v xml:space="preserve"> x </v>
      </c>
    </row>
    <row r="299" spans="4:4" x14ac:dyDescent="0.25">
      <c r="D299" t="str">
        <f t="shared" si="8"/>
        <v xml:space="preserve"> x </v>
      </c>
    </row>
    <row r="300" spans="4:4" x14ac:dyDescent="0.25">
      <c r="D300" t="str">
        <f t="shared" si="8"/>
        <v xml:space="preserve"> x </v>
      </c>
    </row>
    <row r="301" spans="4:4" x14ac:dyDescent="0.25">
      <c r="D301" t="str">
        <f t="shared" si="8"/>
        <v xml:space="preserve"> x </v>
      </c>
    </row>
    <row r="302" spans="4:4" x14ac:dyDescent="0.25">
      <c r="D302" t="str">
        <f t="shared" si="8"/>
        <v xml:space="preserve"> x </v>
      </c>
    </row>
    <row r="303" spans="4:4" x14ac:dyDescent="0.25">
      <c r="D303" t="str">
        <f t="shared" si="8"/>
        <v xml:space="preserve"> x </v>
      </c>
    </row>
    <row r="304" spans="4:4" x14ac:dyDescent="0.25">
      <c r="D304" t="str">
        <f t="shared" si="8"/>
        <v xml:space="preserve"> x </v>
      </c>
    </row>
    <row r="305" spans="4:4" x14ac:dyDescent="0.25">
      <c r="D305" t="str">
        <f t="shared" si="8"/>
        <v xml:space="preserve"> x </v>
      </c>
    </row>
    <row r="306" spans="4:4" x14ac:dyDescent="0.25">
      <c r="D306" t="str">
        <f t="shared" si="8"/>
        <v xml:space="preserve"> x </v>
      </c>
    </row>
    <row r="307" spans="4:4" x14ac:dyDescent="0.25">
      <c r="D307" t="str">
        <f t="shared" si="8"/>
        <v xml:space="preserve"> x </v>
      </c>
    </row>
    <row r="308" spans="4:4" x14ac:dyDescent="0.25">
      <c r="D308" t="str">
        <f t="shared" si="8"/>
        <v xml:space="preserve"> x </v>
      </c>
    </row>
    <row r="309" spans="4:4" x14ac:dyDescent="0.25">
      <c r="D309" t="str">
        <f t="shared" si="8"/>
        <v xml:space="preserve"> x </v>
      </c>
    </row>
    <row r="310" spans="4:4" x14ac:dyDescent="0.25">
      <c r="D310" t="str">
        <f t="shared" si="8"/>
        <v xml:space="preserve"> x </v>
      </c>
    </row>
    <row r="311" spans="4:4" x14ac:dyDescent="0.25">
      <c r="D311" t="str">
        <f t="shared" si="8"/>
        <v xml:space="preserve"> x </v>
      </c>
    </row>
    <row r="312" spans="4:4" x14ac:dyDescent="0.25">
      <c r="D312" t="str">
        <f t="shared" si="8"/>
        <v xml:space="preserve"> x </v>
      </c>
    </row>
    <row r="313" spans="4:4" x14ac:dyDescent="0.25">
      <c r="D313" t="str">
        <f t="shared" si="8"/>
        <v xml:space="preserve"> x </v>
      </c>
    </row>
    <row r="314" spans="4:4" x14ac:dyDescent="0.25">
      <c r="D314" t="str">
        <f t="shared" si="8"/>
        <v xml:space="preserve"> x </v>
      </c>
    </row>
    <row r="315" spans="4:4" x14ac:dyDescent="0.25">
      <c r="D315" t="str">
        <f t="shared" si="8"/>
        <v xml:space="preserve"> x </v>
      </c>
    </row>
    <row r="316" spans="4:4" x14ac:dyDescent="0.25">
      <c r="D316" t="str">
        <f t="shared" si="8"/>
        <v xml:space="preserve"> x </v>
      </c>
    </row>
    <row r="317" spans="4:4" x14ac:dyDescent="0.25">
      <c r="D317" t="str">
        <f t="shared" si="8"/>
        <v xml:space="preserve"> x </v>
      </c>
    </row>
    <row r="318" spans="4:4" x14ac:dyDescent="0.25">
      <c r="D318" t="str">
        <f t="shared" si="8"/>
        <v xml:space="preserve"> x </v>
      </c>
    </row>
    <row r="319" spans="4:4" x14ac:dyDescent="0.25">
      <c r="D319" t="str">
        <f t="shared" si="8"/>
        <v xml:space="preserve"> x </v>
      </c>
    </row>
    <row r="320" spans="4:4" x14ac:dyDescent="0.25">
      <c r="D320" t="str">
        <f t="shared" si="8"/>
        <v xml:space="preserve"> x </v>
      </c>
    </row>
    <row r="321" spans="4:4" x14ac:dyDescent="0.25">
      <c r="D321" t="str">
        <f t="shared" si="8"/>
        <v xml:space="preserve"> x </v>
      </c>
    </row>
    <row r="322" spans="4:4" x14ac:dyDescent="0.25">
      <c r="D322" t="str">
        <f t="shared" si="8"/>
        <v xml:space="preserve"> x </v>
      </c>
    </row>
    <row r="323" spans="4:4" x14ac:dyDescent="0.25">
      <c r="D323" t="str">
        <f t="shared" ref="D323:D386" si="9">_xlfn.CONCAT(B323," x ",C323)</f>
        <v xml:space="preserve"> x </v>
      </c>
    </row>
    <row r="324" spans="4:4" x14ac:dyDescent="0.25">
      <c r="D324" t="str">
        <f t="shared" si="9"/>
        <v xml:space="preserve"> x </v>
      </c>
    </row>
    <row r="325" spans="4:4" x14ac:dyDescent="0.25">
      <c r="D325" t="str">
        <f t="shared" si="9"/>
        <v xml:space="preserve"> x </v>
      </c>
    </row>
    <row r="326" spans="4:4" x14ac:dyDescent="0.25">
      <c r="D326" t="str">
        <f t="shared" si="9"/>
        <v xml:space="preserve"> x </v>
      </c>
    </row>
    <row r="327" spans="4:4" x14ac:dyDescent="0.25">
      <c r="D327" t="str">
        <f t="shared" si="9"/>
        <v xml:space="preserve"> x </v>
      </c>
    </row>
    <row r="328" spans="4:4" x14ac:dyDescent="0.25">
      <c r="D328" t="str">
        <f t="shared" si="9"/>
        <v xml:space="preserve"> x </v>
      </c>
    </row>
    <row r="329" spans="4:4" x14ac:dyDescent="0.25">
      <c r="D329" t="str">
        <f t="shared" si="9"/>
        <v xml:space="preserve"> x </v>
      </c>
    </row>
    <row r="330" spans="4:4" x14ac:dyDescent="0.25">
      <c r="D330" t="str">
        <f t="shared" si="9"/>
        <v xml:space="preserve"> x </v>
      </c>
    </row>
    <row r="331" spans="4:4" x14ac:dyDescent="0.25">
      <c r="D331" t="str">
        <f t="shared" si="9"/>
        <v xml:space="preserve"> x </v>
      </c>
    </row>
    <row r="332" spans="4:4" x14ac:dyDescent="0.25">
      <c r="D332" t="str">
        <f t="shared" si="9"/>
        <v xml:space="preserve"> x </v>
      </c>
    </row>
    <row r="333" spans="4:4" x14ac:dyDescent="0.25">
      <c r="D333" t="str">
        <f t="shared" si="9"/>
        <v xml:space="preserve"> x </v>
      </c>
    </row>
    <row r="334" spans="4:4" x14ac:dyDescent="0.25">
      <c r="D334" t="str">
        <f t="shared" si="9"/>
        <v xml:space="preserve"> x </v>
      </c>
    </row>
    <row r="335" spans="4:4" x14ac:dyDescent="0.25">
      <c r="D335" t="str">
        <f t="shared" si="9"/>
        <v xml:space="preserve"> x </v>
      </c>
    </row>
    <row r="336" spans="4:4" x14ac:dyDescent="0.25">
      <c r="D336" t="str">
        <f t="shared" si="9"/>
        <v xml:space="preserve"> x </v>
      </c>
    </row>
    <row r="337" spans="4:4" x14ac:dyDescent="0.25">
      <c r="D337" t="str">
        <f t="shared" si="9"/>
        <v xml:space="preserve"> x </v>
      </c>
    </row>
    <row r="338" spans="4:4" x14ac:dyDescent="0.25">
      <c r="D338" t="str">
        <f t="shared" si="9"/>
        <v xml:space="preserve"> x </v>
      </c>
    </row>
    <row r="339" spans="4:4" x14ac:dyDescent="0.25">
      <c r="D339" t="str">
        <f t="shared" si="9"/>
        <v xml:space="preserve"> x </v>
      </c>
    </row>
    <row r="340" spans="4:4" x14ac:dyDescent="0.25">
      <c r="D340" t="str">
        <f t="shared" si="9"/>
        <v xml:space="preserve"> x </v>
      </c>
    </row>
    <row r="341" spans="4:4" x14ac:dyDescent="0.25">
      <c r="D341" t="str">
        <f t="shared" si="9"/>
        <v xml:space="preserve"> x </v>
      </c>
    </row>
    <row r="342" spans="4:4" x14ac:dyDescent="0.25">
      <c r="D342" t="str">
        <f t="shared" si="9"/>
        <v xml:space="preserve"> x </v>
      </c>
    </row>
    <row r="343" spans="4:4" x14ac:dyDescent="0.25">
      <c r="D343" t="str">
        <f t="shared" si="9"/>
        <v xml:space="preserve"> x </v>
      </c>
    </row>
    <row r="344" spans="4:4" x14ac:dyDescent="0.25">
      <c r="D344" t="str">
        <f t="shared" si="9"/>
        <v xml:space="preserve"> x </v>
      </c>
    </row>
    <row r="345" spans="4:4" x14ac:dyDescent="0.25">
      <c r="D345" t="str">
        <f t="shared" si="9"/>
        <v xml:space="preserve"> x </v>
      </c>
    </row>
    <row r="346" spans="4:4" x14ac:dyDescent="0.25">
      <c r="D346" t="str">
        <f t="shared" si="9"/>
        <v xml:space="preserve"> x </v>
      </c>
    </row>
    <row r="347" spans="4:4" x14ac:dyDescent="0.25">
      <c r="D347" t="str">
        <f t="shared" si="9"/>
        <v xml:space="preserve"> x </v>
      </c>
    </row>
    <row r="348" spans="4:4" x14ac:dyDescent="0.25">
      <c r="D348" t="str">
        <f t="shared" si="9"/>
        <v xml:space="preserve"> x </v>
      </c>
    </row>
    <row r="349" spans="4:4" x14ac:dyDescent="0.25">
      <c r="D349" t="str">
        <f t="shared" si="9"/>
        <v xml:space="preserve"> x </v>
      </c>
    </row>
    <row r="350" spans="4:4" x14ac:dyDescent="0.25">
      <c r="D350" t="str">
        <f t="shared" si="9"/>
        <v xml:space="preserve"> x </v>
      </c>
    </row>
    <row r="351" spans="4:4" x14ac:dyDescent="0.25">
      <c r="D351" t="str">
        <f t="shared" si="9"/>
        <v xml:space="preserve"> x </v>
      </c>
    </row>
    <row r="352" spans="4:4" x14ac:dyDescent="0.25">
      <c r="D352" t="str">
        <f t="shared" si="9"/>
        <v xml:space="preserve"> x </v>
      </c>
    </row>
    <row r="353" spans="4:4" x14ac:dyDescent="0.25">
      <c r="D353" t="str">
        <f t="shared" si="9"/>
        <v xml:space="preserve"> x </v>
      </c>
    </row>
    <row r="354" spans="4:4" x14ac:dyDescent="0.25">
      <c r="D354" t="str">
        <f t="shared" si="9"/>
        <v xml:space="preserve"> x </v>
      </c>
    </row>
    <row r="355" spans="4:4" x14ac:dyDescent="0.25">
      <c r="D355" t="str">
        <f t="shared" si="9"/>
        <v xml:space="preserve"> x </v>
      </c>
    </row>
    <row r="356" spans="4:4" x14ac:dyDescent="0.25">
      <c r="D356" t="str">
        <f t="shared" si="9"/>
        <v xml:space="preserve"> x </v>
      </c>
    </row>
    <row r="357" spans="4:4" x14ac:dyDescent="0.25">
      <c r="D357" t="str">
        <f t="shared" si="9"/>
        <v xml:space="preserve"> x </v>
      </c>
    </row>
    <row r="358" spans="4:4" x14ac:dyDescent="0.25">
      <c r="D358" t="str">
        <f t="shared" si="9"/>
        <v xml:space="preserve"> x </v>
      </c>
    </row>
    <row r="359" spans="4:4" x14ac:dyDescent="0.25">
      <c r="D359" t="str">
        <f t="shared" si="9"/>
        <v xml:space="preserve"> x </v>
      </c>
    </row>
    <row r="360" spans="4:4" x14ac:dyDescent="0.25">
      <c r="D360" t="str">
        <f t="shared" si="9"/>
        <v xml:space="preserve"> x </v>
      </c>
    </row>
    <row r="361" spans="4:4" x14ac:dyDescent="0.25">
      <c r="D361" t="str">
        <f t="shared" si="9"/>
        <v xml:space="preserve"> x </v>
      </c>
    </row>
    <row r="362" spans="4:4" x14ac:dyDescent="0.25">
      <c r="D362" t="str">
        <f t="shared" si="9"/>
        <v xml:space="preserve"> x </v>
      </c>
    </row>
    <row r="363" spans="4:4" x14ac:dyDescent="0.25">
      <c r="D363" t="str">
        <f t="shared" si="9"/>
        <v xml:space="preserve"> x </v>
      </c>
    </row>
    <row r="364" spans="4:4" x14ac:dyDescent="0.25">
      <c r="D364" t="str">
        <f t="shared" si="9"/>
        <v xml:space="preserve"> x </v>
      </c>
    </row>
    <row r="365" spans="4:4" x14ac:dyDescent="0.25">
      <c r="D365" t="str">
        <f t="shared" si="9"/>
        <v xml:space="preserve"> x </v>
      </c>
    </row>
    <row r="366" spans="4:4" x14ac:dyDescent="0.25">
      <c r="D366" t="str">
        <f t="shared" si="9"/>
        <v xml:space="preserve"> x </v>
      </c>
    </row>
    <row r="367" spans="4:4" x14ac:dyDescent="0.25">
      <c r="D367" t="str">
        <f t="shared" si="9"/>
        <v xml:space="preserve"> x </v>
      </c>
    </row>
    <row r="368" spans="4:4" x14ac:dyDescent="0.25">
      <c r="D368" t="str">
        <f t="shared" si="9"/>
        <v xml:space="preserve"> x </v>
      </c>
    </row>
    <row r="369" spans="4:4" x14ac:dyDescent="0.25">
      <c r="D369" t="str">
        <f t="shared" si="9"/>
        <v xml:space="preserve"> x </v>
      </c>
    </row>
    <row r="370" spans="4:4" x14ac:dyDescent="0.25">
      <c r="D370" t="str">
        <f t="shared" si="9"/>
        <v xml:space="preserve"> x </v>
      </c>
    </row>
    <row r="371" spans="4:4" x14ac:dyDescent="0.25">
      <c r="D371" t="str">
        <f t="shared" si="9"/>
        <v xml:space="preserve"> x </v>
      </c>
    </row>
    <row r="372" spans="4:4" x14ac:dyDescent="0.25">
      <c r="D372" t="str">
        <f t="shared" si="9"/>
        <v xml:space="preserve"> x </v>
      </c>
    </row>
    <row r="373" spans="4:4" x14ac:dyDescent="0.25">
      <c r="D373" t="str">
        <f t="shared" si="9"/>
        <v xml:space="preserve"> x </v>
      </c>
    </row>
    <row r="374" spans="4:4" x14ac:dyDescent="0.25">
      <c r="D374" t="str">
        <f t="shared" si="9"/>
        <v xml:space="preserve"> x </v>
      </c>
    </row>
    <row r="375" spans="4:4" x14ac:dyDescent="0.25">
      <c r="D375" t="str">
        <f t="shared" si="9"/>
        <v xml:space="preserve"> x </v>
      </c>
    </row>
    <row r="376" spans="4:4" x14ac:dyDescent="0.25">
      <c r="D376" t="str">
        <f t="shared" si="9"/>
        <v xml:space="preserve"> x </v>
      </c>
    </row>
    <row r="377" spans="4:4" x14ac:dyDescent="0.25">
      <c r="D377" t="str">
        <f t="shared" si="9"/>
        <v xml:space="preserve"> x </v>
      </c>
    </row>
    <row r="378" spans="4:4" x14ac:dyDescent="0.25">
      <c r="D378" t="str">
        <f t="shared" si="9"/>
        <v xml:space="preserve"> x </v>
      </c>
    </row>
    <row r="379" spans="4:4" x14ac:dyDescent="0.25">
      <c r="D379" t="str">
        <f t="shared" si="9"/>
        <v xml:space="preserve"> x </v>
      </c>
    </row>
    <row r="380" spans="4:4" x14ac:dyDescent="0.25">
      <c r="D380" t="str">
        <f t="shared" si="9"/>
        <v xml:space="preserve"> x </v>
      </c>
    </row>
    <row r="381" spans="4:4" x14ac:dyDescent="0.25">
      <c r="D381" t="str">
        <f t="shared" si="9"/>
        <v xml:space="preserve"> x </v>
      </c>
    </row>
    <row r="382" spans="4:4" x14ac:dyDescent="0.25">
      <c r="D382" t="str">
        <f t="shared" si="9"/>
        <v xml:space="preserve"> x </v>
      </c>
    </row>
    <row r="383" spans="4:4" x14ac:dyDescent="0.25">
      <c r="D383" t="str">
        <f t="shared" si="9"/>
        <v xml:space="preserve"> x </v>
      </c>
    </row>
    <row r="384" spans="4:4" x14ac:dyDescent="0.25">
      <c r="D384" t="str">
        <f t="shared" si="9"/>
        <v xml:space="preserve"> x </v>
      </c>
    </row>
    <row r="385" spans="4:4" x14ac:dyDescent="0.25">
      <c r="D385" t="str">
        <f t="shared" si="9"/>
        <v xml:space="preserve"> x </v>
      </c>
    </row>
    <row r="386" spans="4:4" x14ac:dyDescent="0.25">
      <c r="D386" t="str">
        <f t="shared" si="9"/>
        <v xml:space="preserve"> x </v>
      </c>
    </row>
    <row r="387" spans="4:4" x14ac:dyDescent="0.25">
      <c r="D387" t="str">
        <f t="shared" ref="D387:D450" si="10">_xlfn.CONCAT(B387," x ",C387)</f>
        <v xml:space="preserve"> x </v>
      </c>
    </row>
    <row r="388" spans="4:4" x14ac:dyDescent="0.25">
      <c r="D388" t="str">
        <f t="shared" si="10"/>
        <v xml:space="preserve"> x </v>
      </c>
    </row>
    <row r="389" spans="4:4" x14ac:dyDescent="0.25">
      <c r="D389" t="str">
        <f t="shared" si="10"/>
        <v xml:space="preserve"> x </v>
      </c>
    </row>
    <row r="390" spans="4:4" x14ac:dyDescent="0.25">
      <c r="D390" t="str">
        <f t="shared" si="10"/>
        <v xml:space="preserve"> x </v>
      </c>
    </row>
    <row r="391" spans="4:4" x14ac:dyDescent="0.25">
      <c r="D391" t="str">
        <f t="shared" si="10"/>
        <v xml:space="preserve"> x </v>
      </c>
    </row>
    <row r="392" spans="4:4" x14ac:dyDescent="0.25">
      <c r="D392" t="str">
        <f t="shared" si="10"/>
        <v xml:space="preserve"> x </v>
      </c>
    </row>
    <row r="393" spans="4:4" x14ac:dyDescent="0.25">
      <c r="D393" t="str">
        <f t="shared" si="10"/>
        <v xml:space="preserve"> x </v>
      </c>
    </row>
    <row r="394" spans="4:4" x14ac:dyDescent="0.25">
      <c r="D394" t="str">
        <f t="shared" si="10"/>
        <v xml:space="preserve"> x </v>
      </c>
    </row>
    <row r="395" spans="4:4" x14ac:dyDescent="0.25">
      <c r="D395" t="str">
        <f t="shared" si="10"/>
        <v xml:space="preserve"> x </v>
      </c>
    </row>
    <row r="396" spans="4:4" x14ac:dyDescent="0.25">
      <c r="D396" t="str">
        <f t="shared" si="10"/>
        <v xml:space="preserve"> x </v>
      </c>
    </row>
    <row r="397" spans="4:4" x14ac:dyDescent="0.25">
      <c r="D397" t="str">
        <f t="shared" si="10"/>
        <v xml:space="preserve"> x </v>
      </c>
    </row>
    <row r="398" spans="4:4" x14ac:dyDescent="0.25">
      <c r="D398" t="str">
        <f t="shared" si="10"/>
        <v xml:space="preserve"> x </v>
      </c>
    </row>
    <row r="399" spans="4:4" x14ac:dyDescent="0.25">
      <c r="D399" t="str">
        <f t="shared" si="10"/>
        <v xml:space="preserve"> x </v>
      </c>
    </row>
    <row r="400" spans="4:4" x14ac:dyDescent="0.25">
      <c r="D400" t="str">
        <f t="shared" si="10"/>
        <v xml:space="preserve"> x </v>
      </c>
    </row>
    <row r="401" spans="4:4" x14ac:dyDescent="0.25">
      <c r="D401" t="str">
        <f t="shared" si="10"/>
        <v xml:space="preserve"> x </v>
      </c>
    </row>
    <row r="402" spans="4:4" x14ac:dyDescent="0.25">
      <c r="D402" t="str">
        <f t="shared" si="10"/>
        <v xml:space="preserve"> x </v>
      </c>
    </row>
    <row r="403" spans="4:4" x14ac:dyDescent="0.25">
      <c r="D403" t="str">
        <f t="shared" si="10"/>
        <v xml:space="preserve"> x </v>
      </c>
    </row>
    <row r="404" spans="4:4" x14ac:dyDescent="0.25">
      <c r="D404" t="str">
        <f t="shared" si="10"/>
        <v xml:space="preserve"> x </v>
      </c>
    </row>
    <row r="405" spans="4:4" x14ac:dyDescent="0.25">
      <c r="D405" t="str">
        <f t="shared" si="10"/>
        <v xml:space="preserve"> x </v>
      </c>
    </row>
    <row r="406" spans="4:4" x14ac:dyDescent="0.25">
      <c r="D406" t="str">
        <f t="shared" si="10"/>
        <v xml:space="preserve"> x </v>
      </c>
    </row>
    <row r="407" spans="4:4" x14ac:dyDescent="0.25">
      <c r="D407" t="str">
        <f t="shared" si="10"/>
        <v xml:space="preserve"> x </v>
      </c>
    </row>
    <row r="408" spans="4:4" x14ac:dyDescent="0.25">
      <c r="D408" t="str">
        <f t="shared" si="10"/>
        <v xml:space="preserve"> x </v>
      </c>
    </row>
    <row r="409" spans="4:4" x14ac:dyDescent="0.25">
      <c r="D409" t="str">
        <f t="shared" si="10"/>
        <v xml:space="preserve"> x </v>
      </c>
    </row>
    <row r="410" spans="4:4" x14ac:dyDescent="0.25">
      <c r="D410" t="str">
        <f t="shared" si="10"/>
        <v xml:space="preserve"> x </v>
      </c>
    </row>
    <row r="411" spans="4:4" x14ac:dyDescent="0.25">
      <c r="D411" t="str">
        <f t="shared" si="10"/>
        <v xml:space="preserve"> x </v>
      </c>
    </row>
    <row r="412" spans="4:4" x14ac:dyDescent="0.25">
      <c r="D412" t="str">
        <f t="shared" si="10"/>
        <v xml:space="preserve"> x </v>
      </c>
    </row>
    <row r="413" spans="4:4" x14ac:dyDescent="0.25">
      <c r="D413" t="str">
        <f t="shared" si="10"/>
        <v xml:space="preserve"> x </v>
      </c>
    </row>
    <row r="414" spans="4:4" x14ac:dyDescent="0.25">
      <c r="D414" t="str">
        <f t="shared" si="10"/>
        <v xml:space="preserve"> x </v>
      </c>
    </row>
    <row r="415" spans="4:4" x14ac:dyDescent="0.25">
      <c r="D415" t="str">
        <f t="shared" si="10"/>
        <v xml:space="preserve"> x </v>
      </c>
    </row>
    <row r="416" spans="4:4" x14ac:dyDescent="0.25">
      <c r="D416" t="str">
        <f t="shared" si="10"/>
        <v xml:space="preserve"> x </v>
      </c>
    </row>
    <row r="417" spans="4:4" x14ac:dyDescent="0.25">
      <c r="D417" t="str">
        <f t="shared" si="10"/>
        <v xml:space="preserve"> x </v>
      </c>
    </row>
    <row r="418" spans="4:4" x14ac:dyDescent="0.25">
      <c r="D418" t="str">
        <f t="shared" si="10"/>
        <v xml:space="preserve"> x </v>
      </c>
    </row>
    <row r="419" spans="4:4" x14ac:dyDescent="0.25">
      <c r="D419" t="str">
        <f t="shared" si="10"/>
        <v xml:space="preserve"> x </v>
      </c>
    </row>
    <row r="420" spans="4:4" x14ac:dyDescent="0.25">
      <c r="D420" t="str">
        <f t="shared" si="10"/>
        <v xml:space="preserve"> x </v>
      </c>
    </row>
    <row r="421" spans="4:4" x14ac:dyDescent="0.25">
      <c r="D421" t="str">
        <f t="shared" si="10"/>
        <v xml:space="preserve"> x </v>
      </c>
    </row>
    <row r="422" spans="4:4" x14ac:dyDescent="0.25">
      <c r="D422" t="str">
        <f t="shared" si="10"/>
        <v xml:space="preserve"> x </v>
      </c>
    </row>
    <row r="423" spans="4:4" x14ac:dyDescent="0.25">
      <c r="D423" t="str">
        <f t="shared" si="10"/>
        <v xml:space="preserve"> x </v>
      </c>
    </row>
    <row r="424" spans="4:4" x14ac:dyDescent="0.25">
      <c r="D424" t="str">
        <f t="shared" si="10"/>
        <v xml:space="preserve"> x </v>
      </c>
    </row>
    <row r="425" spans="4:4" x14ac:dyDescent="0.25">
      <c r="D425" t="str">
        <f t="shared" si="10"/>
        <v xml:space="preserve"> x </v>
      </c>
    </row>
    <row r="426" spans="4:4" x14ac:dyDescent="0.25">
      <c r="D426" t="str">
        <f t="shared" si="10"/>
        <v xml:space="preserve"> x </v>
      </c>
    </row>
    <row r="427" spans="4:4" x14ac:dyDescent="0.25">
      <c r="D427" t="str">
        <f t="shared" si="10"/>
        <v xml:space="preserve"> x </v>
      </c>
    </row>
    <row r="428" spans="4:4" x14ac:dyDescent="0.25">
      <c r="D428" t="str">
        <f t="shared" si="10"/>
        <v xml:space="preserve"> x </v>
      </c>
    </row>
    <row r="429" spans="4:4" x14ac:dyDescent="0.25">
      <c r="D429" t="str">
        <f t="shared" si="10"/>
        <v xml:space="preserve"> x </v>
      </c>
    </row>
    <row r="430" spans="4:4" x14ac:dyDescent="0.25">
      <c r="D430" t="str">
        <f t="shared" si="10"/>
        <v xml:space="preserve"> x </v>
      </c>
    </row>
    <row r="431" spans="4:4" x14ac:dyDescent="0.25">
      <c r="D431" t="str">
        <f t="shared" si="10"/>
        <v xml:space="preserve"> x </v>
      </c>
    </row>
    <row r="432" spans="4:4" x14ac:dyDescent="0.25">
      <c r="D432" t="str">
        <f t="shared" si="10"/>
        <v xml:space="preserve"> x </v>
      </c>
    </row>
    <row r="433" spans="4:4" x14ac:dyDescent="0.25">
      <c r="D433" t="str">
        <f t="shared" si="10"/>
        <v xml:space="preserve"> x </v>
      </c>
    </row>
    <row r="434" spans="4:4" x14ac:dyDescent="0.25">
      <c r="D434" t="str">
        <f t="shared" si="10"/>
        <v xml:space="preserve"> x </v>
      </c>
    </row>
    <row r="435" spans="4:4" x14ac:dyDescent="0.25">
      <c r="D435" t="str">
        <f t="shared" si="10"/>
        <v xml:space="preserve"> x </v>
      </c>
    </row>
    <row r="436" spans="4:4" x14ac:dyDescent="0.25">
      <c r="D436" t="str">
        <f t="shared" si="10"/>
        <v xml:space="preserve"> x </v>
      </c>
    </row>
    <row r="437" spans="4:4" x14ac:dyDescent="0.25">
      <c r="D437" t="str">
        <f t="shared" si="10"/>
        <v xml:space="preserve"> x </v>
      </c>
    </row>
    <row r="438" spans="4:4" x14ac:dyDescent="0.25">
      <c r="D438" t="str">
        <f t="shared" si="10"/>
        <v xml:space="preserve"> x </v>
      </c>
    </row>
    <row r="439" spans="4:4" x14ac:dyDescent="0.25">
      <c r="D439" t="str">
        <f t="shared" si="10"/>
        <v xml:space="preserve"> x </v>
      </c>
    </row>
    <row r="440" spans="4:4" x14ac:dyDescent="0.25">
      <c r="D440" t="str">
        <f t="shared" si="10"/>
        <v xml:space="preserve"> x </v>
      </c>
    </row>
    <row r="441" spans="4:4" x14ac:dyDescent="0.25">
      <c r="D441" t="str">
        <f t="shared" si="10"/>
        <v xml:space="preserve"> x </v>
      </c>
    </row>
    <row r="442" spans="4:4" x14ac:dyDescent="0.25">
      <c r="D442" t="str">
        <f t="shared" si="10"/>
        <v xml:space="preserve"> x </v>
      </c>
    </row>
    <row r="443" spans="4:4" x14ac:dyDescent="0.25">
      <c r="D443" t="str">
        <f t="shared" si="10"/>
        <v xml:space="preserve"> x </v>
      </c>
    </row>
    <row r="444" spans="4:4" x14ac:dyDescent="0.25">
      <c r="D444" t="str">
        <f t="shared" si="10"/>
        <v xml:space="preserve"> x </v>
      </c>
    </row>
    <row r="445" spans="4:4" x14ac:dyDescent="0.25">
      <c r="D445" t="str">
        <f t="shared" si="10"/>
        <v xml:space="preserve"> x </v>
      </c>
    </row>
    <row r="446" spans="4:4" x14ac:dyDescent="0.25">
      <c r="D446" t="str">
        <f t="shared" si="10"/>
        <v xml:space="preserve"> x </v>
      </c>
    </row>
    <row r="447" spans="4:4" x14ac:dyDescent="0.25">
      <c r="D447" t="str">
        <f t="shared" si="10"/>
        <v xml:space="preserve"> x </v>
      </c>
    </row>
    <row r="448" spans="4:4" x14ac:dyDescent="0.25">
      <c r="D448" t="str">
        <f t="shared" si="10"/>
        <v xml:space="preserve"> x </v>
      </c>
    </row>
    <row r="449" spans="4:4" x14ac:dyDescent="0.25">
      <c r="D449" t="str">
        <f t="shared" si="10"/>
        <v xml:space="preserve"> x </v>
      </c>
    </row>
    <row r="450" spans="4:4" x14ac:dyDescent="0.25">
      <c r="D450" t="str">
        <f t="shared" si="10"/>
        <v xml:space="preserve"> x </v>
      </c>
    </row>
    <row r="451" spans="4:4" x14ac:dyDescent="0.25">
      <c r="D451" t="str">
        <f t="shared" ref="D451:D514" si="11">_xlfn.CONCAT(B451," x ",C451)</f>
        <v xml:space="preserve"> x </v>
      </c>
    </row>
    <row r="452" spans="4:4" x14ac:dyDescent="0.25">
      <c r="D452" t="str">
        <f t="shared" si="11"/>
        <v xml:space="preserve"> x </v>
      </c>
    </row>
    <row r="453" spans="4:4" x14ac:dyDescent="0.25">
      <c r="D453" t="str">
        <f t="shared" si="11"/>
        <v xml:space="preserve"> x </v>
      </c>
    </row>
    <row r="454" spans="4:4" x14ac:dyDescent="0.25">
      <c r="D454" t="str">
        <f t="shared" si="11"/>
        <v xml:space="preserve"> x </v>
      </c>
    </row>
    <row r="455" spans="4:4" x14ac:dyDescent="0.25">
      <c r="D455" t="str">
        <f t="shared" si="11"/>
        <v xml:space="preserve"> x </v>
      </c>
    </row>
    <row r="456" spans="4:4" x14ac:dyDescent="0.25">
      <c r="D456" t="str">
        <f t="shared" si="11"/>
        <v xml:space="preserve"> x </v>
      </c>
    </row>
    <row r="457" spans="4:4" x14ac:dyDescent="0.25">
      <c r="D457" t="str">
        <f t="shared" si="11"/>
        <v xml:space="preserve"> x </v>
      </c>
    </row>
    <row r="458" spans="4:4" x14ac:dyDescent="0.25">
      <c r="D458" t="str">
        <f t="shared" si="11"/>
        <v xml:space="preserve"> x </v>
      </c>
    </row>
    <row r="459" spans="4:4" x14ac:dyDescent="0.25">
      <c r="D459" t="str">
        <f t="shared" si="11"/>
        <v xml:space="preserve"> x </v>
      </c>
    </row>
    <row r="460" spans="4:4" x14ac:dyDescent="0.25">
      <c r="D460" t="str">
        <f t="shared" si="11"/>
        <v xml:space="preserve"> x </v>
      </c>
    </row>
    <row r="461" spans="4:4" x14ac:dyDescent="0.25">
      <c r="D461" t="str">
        <f t="shared" si="11"/>
        <v xml:space="preserve"> x </v>
      </c>
    </row>
    <row r="462" spans="4:4" x14ac:dyDescent="0.25">
      <c r="D462" t="str">
        <f t="shared" si="11"/>
        <v xml:space="preserve"> x </v>
      </c>
    </row>
    <row r="463" spans="4:4" x14ac:dyDescent="0.25">
      <c r="D463" t="str">
        <f t="shared" si="11"/>
        <v xml:space="preserve"> x </v>
      </c>
    </row>
    <row r="464" spans="4:4" x14ac:dyDescent="0.25">
      <c r="D464" t="str">
        <f t="shared" si="11"/>
        <v xml:space="preserve"> x </v>
      </c>
    </row>
    <row r="465" spans="4:4" x14ac:dyDescent="0.25">
      <c r="D465" t="str">
        <f t="shared" si="11"/>
        <v xml:space="preserve"> x </v>
      </c>
    </row>
    <row r="466" spans="4:4" x14ac:dyDescent="0.25">
      <c r="D466" t="str">
        <f t="shared" si="11"/>
        <v xml:space="preserve"> x </v>
      </c>
    </row>
    <row r="467" spans="4:4" x14ac:dyDescent="0.25">
      <c r="D467" t="str">
        <f t="shared" si="11"/>
        <v xml:space="preserve"> x </v>
      </c>
    </row>
    <row r="468" spans="4:4" x14ac:dyDescent="0.25">
      <c r="D468" t="str">
        <f t="shared" si="11"/>
        <v xml:space="preserve"> x </v>
      </c>
    </row>
    <row r="469" spans="4:4" x14ac:dyDescent="0.25">
      <c r="D469" t="str">
        <f t="shared" si="11"/>
        <v xml:space="preserve"> x </v>
      </c>
    </row>
    <row r="470" spans="4:4" x14ac:dyDescent="0.25">
      <c r="D470" t="str">
        <f t="shared" si="11"/>
        <v xml:space="preserve"> x </v>
      </c>
    </row>
    <row r="471" spans="4:4" x14ac:dyDescent="0.25">
      <c r="D471" t="str">
        <f t="shared" si="11"/>
        <v xml:space="preserve"> x </v>
      </c>
    </row>
    <row r="472" spans="4:4" x14ac:dyDescent="0.25">
      <c r="D472" t="str">
        <f t="shared" si="11"/>
        <v xml:space="preserve"> x </v>
      </c>
    </row>
    <row r="473" spans="4:4" x14ac:dyDescent="0.25">
      <c r="D473" t="str">
        <f t="shared" si="11"/>
        <v xml:space="preserve"> x </v>
      </c>
    </row>
    <row r="474" spans="4:4" x14ac:dyDescent="0.25">
      <c r="D474" t="str">
        <f t="shared" si="11"/>
        <v xml:space="preserve"> x </v>
      </c>
    </row>
    <row r="475" spans="4:4" x14ac:dyDescent="0.25">
      <c r="D475" t="str">
        <f t="shared" si="11"/>
        <v xml:space="preserve"> x </v>
      </c>
    </row>
    <row r="476" spans="4:4" x14ac:dyDescent="0.25">
      <c r="D476" t="str">
        <f t="shared" si="11"/>
        <v xml:space="preserve"> x </v>
      </c>
    </row>
    <row r="477" spans="4:4" x14ac:dyDescent="0.25">
      <c r="D477" t="str">
        <f t="shared" si="11"/>
        <v xml:space="preserve"> x </v>
      </c>
    </row>
    <row r="478" spans="4:4" x14ac:dyDescent="0.25">
      <c r="D478" t="str">
        <f t="shared" si="11"/>
        <v xml:space="preserve"> x </v>
      </c>
    </row>
    <row r="479" spans="4:4" x14ac:dyDescent="0.25">
      <c r="D479" t="str">
        <f t="shared" si="11"/>
        <v xml:space="preserve"> x </v>
      </c>
    </row>
    <row r="480" spans="4:4" x14ac:dyDescent="0.25">
      <c r="D480" t="str">
        <f t="shared" si="11"/>
        <v xml:space="preserve"> x </v>
      </c>
    </row>
    <row r="481" spans="4:4" x14ac:dyDescent="0.25">
      <c r="D481" t="str">
        <f t="shared" si="11"/>
        <v xml:space="preserve"> x </v>
      </c>
    </row>
    <row r="482" spans="4:4" x14ac:dyDescent="0.25">
      <c r="D482" t="str">
        <f t="shared" si="11"/>
        <v xml:space="preserve"> x </v>
      </c>
    </row>
    <row r="483" spans="4:4" x14ac:dyDescent="0.25">
      <c r="D483" t="str">
        <f t="shared" si="11"/>
        <v xml:space="preserve"> x </v>
      </c>
    </row>
    <row r="484" spans="4:4" x14ac:dyDescent="0.25">
      <c r="D484" t="str">
        <f t="shared" si="11"/>
        <v xml:space="preserve"> x </v>
      </c>
    </row>
    <row r="485" spans="4:4" x14ac:dyDescent="0.25">
      <c r="D485" t="str">
        <f t="shared" si="11"/>
        <v xml:space="preserve"> x </v>
      </c>
    </row>
    <row r="486" spans="4:4" x14ac:dyDescent="0.25">
      <c r="D486" t="str">
        <f t="shared" si="11"/>
        <v xml:space="preserve"> x </v>
      </c>
    </row>
    <row r="487" spans="4:4" x14ac:dyDescent="0.25">
      <c r="D487" t="str">
        <f t="shared" si="11"/>
        <v xml:space="preserve"> x </v>
      </c>
    </row>
    <row r="488" spans="4:4" x14ac:dyDescent="0.25">
      <c r="D488" t="str">
        <f t="shared" si="11"/>
        <v xml:space="preserve"> x </v>
      </c>
    </row>
    <row r="489" spans="4:4" x14ac:dyDescent="0.25">
      <c r="D489" t="str">
        <f t="shared" si="11"/>
        <v xml:space="preserve"> x </v>
      </c>
    </row>
    <row r="490" spans="4:4" x14ac:dyDescent="0.25">
      <c r="D490" t="str">
        <f t="shared" si="11"/>
        <v xml:space="preserve"> x </v>
      </c>
    </row>
    <row r="491" spans="4:4" x14ac:dyDescent="0.25">
      <c r="D491" t="str">
        <f t="shared" si="11"/>
        <v xml:space="preserve"> x </v>
      </c>
    </row>
    <row r="492" spans="4:4" x14ac:dyDescent="0.25">
      <c r="D492" t="str">
        <f t="shared" si="11"/>
        <v xml:space="preserve"> x </v>
      </c>
    </row>
    <row r="493" spans="4:4" x14ac:dyDescent="0.25">
      <c r="D493" t="str">
        <f t="shared" si="11"/>
        <v xml:space="preserve"> x </v>
      </c>
    </row>
    <row r="494" spans="4:4" x14ac:dyDescent="0.25">
      <c r="D494" t="str">
        <f t="shared" si="11"/>
        <v xml:space="preserve"> x </v>
      </c>
    </row>
    <row r="495" spans="4:4" x14ac:dyDescent="0.25">
      <c r="D495" t="str">
        <f t="shared" si="11"/>
        <v xml:space="preserve"> x </v>
      </c>
    </row>
    <row r="496" spans="4:4" x14ac:dyDescent="0.25">
      <c r="D496" t="str">
        <f t="shared" si="11"/>
        <v xml:space="preserve"> x </v>
      </c>
    </row>
    <row r="497" spans="4:4" x14ac:dyDescent="0.25">
      <c r="D497" t="str">
        <f t="shared" si="11"/>
        <v xml:space="preserve"> x </v>
      </c>
    </row>
    <row r="498" spans="4:4" x14ac:dyDescent="0.25">
      <c r="D498" t="str">
        <f t="shared" si="11"/>
        <v xml:space="preserve"> x </v>
      </c>
    </row>
    <row r="499" spans="4:4" x14ac:dyDescent="0.25">
      <c r="D499" t="str">
        <f t="shared" si="11"/>
        <v xml:space="preserve"> x </v>
      </c>
    </row>
    <row r="500" spans="4:4" x14ac:dyDescent="0.25">
      <c r="D500" t="str">
        <f t="shared" si="11"/>
        <v xml:space="preserve"> x </v>
      </c>
    </row>
    <row r="501" spans="4:4" x14ac:dyDescent="0.25">
      <c r="D501" t="str">
        <f t="shared" si="11"/>
        <v xml:space="preserve"> x </v>
      </c>
    </row>
    <row r="502" spans="4:4" x14ac:dyDescent="0.25">
      <c r="D502" t="str">
        <f t="shared" si="11"/>
        <v xml:space="preserve"> x </v>
      </c>
    </row>
    <row r="503" spans="4:4" x14ac:dyDescent="0.25">
      <c r="D503" t="str">
        <f t="shared" si="11"/>
        <v xml:space="preserve"> x </v>
      </c>
    </row>
    <row r="504" spans="4:4" x14ac:dyDescent="0.25">
      <c r="D504" t="str">
        <f t="shared" si="11"/>
        <v xml:space="preserve"> x </v>
      </c>
    </row>
    <row r="505" spans="4:4" x14ac:dyDescent="0.25">
      <c r="D505" t="str">
        <f t="shared" si="11"/>
        <v xml:space="preserve"> x </v>
      </c>
    </row>
    <row r="506" spans="4:4" x14ac:dyDescent="0.25">
      <c r="D506" t="str">
        <f t="shared" si="11"/>
        <v xml:space="preserve"> x </v>
      </c>
    </row>
    <row r="507" spans="4:4" x14ac:dyDescent="0.25">
      <c r="D507" t="str">
        <f t="shared" si="11"/>
        <v xml:space="preserve"> x </v>
      </c>
    </row>
    <row r="508" spans="4:4" x14ac:dyDescent="0.25">
      <c r="D508" t="str">
        <f t="shared" si="11"/>
        <v xml:space="preserve"> x </v>
      </c>
    </row>
    <row r="509" spans="4:4" x14ac:dyDescent="0.25">
      <c r="D509" t="str">
        <f t="shared" si="11"/>
        <v xml:space="preserve"> x </v>
      </c>
    </row>
    <row r="510" spans="4:4" x14ac:dyDescent="0.25">
      <c r="D510" t="str">
        <f t="shared" si="11"/>
        <v xml:space="preserve"> x </v>
      </c>
    </row>
    <row r="511" spans="4:4" x14ac:dyDescent="0.25">
      <c r="D511" t="str">
        <f t="shared" si="11"/>
        <v xml:space="preserve"> x </v>
      </c>
    </row>
    <row r="512" spans="4:4" x14ac:dyDescent="0.25">
      <c r="D512" t="str">
        <f t="shared" si="11"/>
        <v xml:space="preserve"> x </v>
      </c>
    </row>
    <row r="513" spans="4:4" x14ac:dyDescent="0.25">
      <c r="D513" t="str">
        <f t="shared" si="11"/>
        <v xml:space="preserve"> x </v>
      </c>
    </row>
    <row r="514" spans="4:4" x14ac:dyDescent="0.25">
      <c r="D514" t="str">
        <f t="shared" si="11"/>
        <v xml:space="preserve"> x </v>
      </c>
    </row>
    <row r="515" spans="4:4" x14ac:dyDescent="0.25">
      <c r="D515" t="str">
        <f t="shared" ref="D515:D578" si="12">_xlfn.CONCAT(B515," x ",C515)</f>
        <v xml:space="preserve"> x </v>
      </c>
    </row>
    <row r="516" spans="4:4" x14ac:dyDescent="0.25">
      <c r="D516" t="str">
        <f t="shared" si="12"/>
        <v xml:space="preserve"> x </v>
      </c>
    </row>
    <row r="517" spans="4:4" x14ac:dyDescent="0.25">
      <c r="D517" t="str">
        <f t="shared" si="12"/>
        <v xml:space="preserve"> x </v>
      </c>
    </row>
    <row r="518" spans="4:4" x14ac:dyDescent="0.25">
      <c r="D518" t="str">
        <f t="shared" si="12"/>
        <v xml:space="preserve"> x </v>
      </c>
    </row>
    <row r="519" spans="4:4" x14ac:dyDescent="0.25">
      <c r="D519" t="str">
        <f t="shared" si="12"/>
        <v xml:space="preserve"> x </v>
      </c>
    </row>
    <row r="520" spans="4:4" x14ac:dyDescent="0.25">
      <c r="D520" t="str">
        <f t="shared" si="12"/>
        <v xml:space="preserve"> x </v>
      </c>
    </row>
    <row r="521" spans="4:4" x14ac:dyDescent="0.25">
      <c r="D521" t="str">
        <f t="shared" si="12"/>
        <v xml:space="preserve"> x </v>
      </c>
    </row>
    <row r="522" spans="4:4" x14ac:dyDescent="0.25">
      <c r="D522" t="str">
        <f t="shared" si="12"/>
        <v xml:space="preserve"> x </v>
      </c>
    </row>
    <row r="523" spans="4:4" x14ac:dyDescent="0.25">
      <c r="D523" t="str">
        <f t="shared" si="12"/>
        <v xml:space="preserve"> x </v>
      </c>
    </row>
    <row r="524" spans="4:4" x14ac:dyDescent="0.25">
      <c r="D524" t="str">
        <f t="shared" si="12"/>
        <v xml:space="preserve"> x </v>
      </c>
    </row>
    <row r="525" spans="4:4" x14ac:dyDescent="0.25">
      <c r="D525" t="str">
        <f t="shared" si="12"/>
        <v xml:space="preserve"> x </v>
      </c>
    </row>
    <row r="526" spans="4:4" x14ac:dyDescent="0.25">
      <c r="D526" t="str">
        <f t="shared" si="12"/>
        <v xml:space="preserve"> x </v>
      </c>
    </row>
    <row r="527" spans="4:4" x14ac:dyDescent="0.25">
      <c r="D527" t="str">
        <f t="shared" si="12"/>
        <v xml:space="preserve"> x </v>
      </c>
    </row>
    <row r="528" spans="4:4" x14ac:dyDescent="0.25">
      <c r="D528" t="str">
        <f t="shared" si="12"/>
        <v xml:space="preserve"> x </v>
      </c>
    </row>
    <row r="529" spans="4:4" x14ac:dyDescent="0.25">
      <c r="D529" t="str">
        <f t="shared" si="12"/>
        <v xml:space="preserve"> x </v>
      </c>
    </row>
    <row r="530" spans="4:4" x14ac:dyDescent="0.25">
      <c r="D530" t="str">
        <f t="shared" si="12"/>
        <v xml:space="preserve"> x </v>
      </c>
    </row>
    <row r="531" spans="4:4" x14ac:dyDescent="0.25">
      <c r="D531" t="str">
        <f t="shared" si="12"/>
        <v xml:space="preserve"> x </v>
      </c>
    </row>
    <row r="532" spans="4:4" x14ac:dyDescent="0.25">
      <c r="D532" t="str">
        <f t="shared" si="12"/>
        <v xml:space="preserve"> x </v>
      </c>
    </row>
    <row r="533" spans="4:4" x14ac:dyDescent="0.25">
      <c r="D533" t="str">
        <f t="shared" si="12"/>
        <v xml:space="preserve"> x </v>
      </c>
    </row>
    <row r="534" spans="4:4" x14ac:dyDescent="0.25">
      <c r="D534" t="str">
        <f t="shared" si="12"/>
        <v xml:space="preserve"> x </v>
      </c>
    </row>
    <row r="535" spans="4:4" x14ac:dyDescent="0.25">
      <c r="D535" t="str">
        <f t="shared" si="12"/>
        <v xml:space="preserve"> x </v>
      </c>
    </row>
    <row r="536" spans="4:4" x14ac:dyDescent="0.25">
      <c r="D536" t="str">
        <f t="shared" si="12"/>
        <v xml:space="preserve"> x </v>
      </c>
    </row>
    <row r="537" spans="4:4" x14ac:dyDescent="0.25">
      <c r="D537" t="str">
        <f t="shared" si="12"/>
        <v xml:space="preserve"> x </v>
      </c>
    </row>
    <row r="538" spans="4:4" x14ac:dyDescent="0.25">
      <c r="D538" t="str">
        <f t="shared" si="12"/>
        <v xml:space="preserve"> x </v>
      </c>
    </row>
    <row r="539" spans="4:4" x14ac:dyDescent="0.25">
      <c r="D539" t="str">
        <f t="shared" si="12"/>
        <v xml:space="preserve"> x </v>
      </c>
    </row>
    <row r="540" spans="4:4" x14ac:dyDescent="0.25">
      <c r="D540" t="str">
        <f t="shared" si="12"/>
        <v xml:space="preserve"> x </v>
      </c>
    </row>
    <row r="541" spans="4:4" x14ac:dyDescent="0.25">
      <c r="D541" t="str">
        <f t="shared" si="12"/>
        <v xml:space="preserve"> x </v>
      </c>
    </row>
    <row r="542" spans="4:4" x14ac:dyDescent="0.25">
      <c r="D542" t="str">
        <f t="shared" si="12"/>
        <v xml:space="preserve"> x </v>
      </c>
    </row>
    <row r="543" spans="4:4" x14ac:dyDescent="0.25">
      <c r="D543" t="str">
        <f t="shared" si="12"/>
        <v xml:space="preserve"> x </v>
      </c>
    </row>
    <row r="544" spans="4:4" x14ac:dyDescent="0.25">
      <c r="D544" t="str">
        <f t="shared" si="12"/>
        <v xml:space="preserve"> x </v>
      </c>
    </row>
    <row r="545" spans="4:4" x14ac:dyDescent="0.25">
      <c r="D545" t="str">
        <f t="shared" si="12"/>
        <v xml:space="preserve"> x </v>
      </c>
    </row>
    <row r="546" spans="4:4" x14ac:dyDescent="0.25">
      <c r="D546" t="str">
        <f t="shared" si="12"/>
        <v xml:space="preserve"> x </v>
      </c>
    </row>
    <row r="547" spans="4:4" x14ac:dyDescent="0.25">
      <c r="D547" t="str">
        <f t="shared" si="12"/>
        <v xml:space="preserve"> x </v>
      </c>
    </row>
    <row r="548" spans="4:4" x14ac:dyDescent="0.25">
      <c r="D548" t="str">
        <f t="shared" si="12"/>
        <v xml:space="preserve"> x </v>
      </c>
    </row>
    <row r="549" spans="4:4" x14ac:dyDescent="0.25">
      <c r="D549" t="str">
        <f t="shared" si="12"/>
        <v xml:space="preserve"> x </v>
      </c>
    </row>
    <row r="550" spans="4:4" x14ac:dyDescent="0.25">
      <c r="D550" t="str">
        <f t="shared" si="12"/>
        <v xml:space="preserve"> x </v>
      </c>
    </row>
    <row r="551" spans="4:4" x14ac:dyDescent="0.25">
      <c r="D551" t="str">
        <f t="shared" si="12"/>
        <v xml:space="preserve"> x </v>
      </c>
    </row>
    <row r="552" spans="4:4" x14ac:dyDescent="0.25">
      <c r="D552" t="str">
        <f t="shared" si="12"/>
        <v xml:space="preserve"> x </v>
      </c>
    </row>
    <row r="553" spans="4:4" x14ac:dyDescent="0.25">
      <c r="D553" t="str">
        <f t="shared" si="12"/>
        <v xml:space="preserve"> x </v>
      </c>
    </row>
    <row r="554" spans="4:4" x14ac:dyDescent="0.25">
      <c r="D554" t="str">
        <f t="shared" si="12"/>
        <v xml:space="preserve"> x </v>
      </c>
    </row>
    <row r="555" spans="4:4" x14ac:dyDescent="0.25">
      <c r="D555" t="str">
        <f t="shared" si="12"/>
        <v xml:space="preserve"> x </v>
      </c>
    </row>
    <row r="556" spans="4:4" x14ac:dyDescent="0.25">
      <c r="D556" t="str">
        <f t="shared" si="12"/>
        <v xml:space="preserve"> x </v>
      </c>
    </row>
    <row r="557" spans="4:4" x14ac:dyDescent="0.25">
      <c r="D557" t="str">
        <f t="shared" si="12"/>
        <v xml:space="preserve"> x </v>
      </c>
    </row>
    <row r="558" spans="4:4" x14ac:dyDescent="0.25">
      <c r="D558" t="str">
        <f t="shared" si="12"/>
        <v xml:space="preserve"> x </v>
      </c>
    </row>
    <row r="559" spans="4:4" x14ac:dyDescent="0.25">
      <c r="D559" t="str">
        <f t="shared" si="12"/>
        <v xml:space="preserve"> x </v>
      </c>
    </row>
    <row r="560" spans="4:4" x14ac:dyDescent="0.25">
      <c r="D560" t="str">
        <f t="shared" si="12"/>
        <v xml:space="preserve"> x </v>
      </c>
    </row>
    <row r="561" spans="4:4" x14ac:dyDescent="0.25">
      <c r="D561" t="str">
        <f t="shared" si="12"/>
        <v xml:space="preserve"> x </v>
      </c>
    </row>
    <row r="562" spans="4:4" x14ac:dyDescent="0.25">
      <c r="D562" t="str">
        <f t="shared" si="12"/>
        <v xml:space="preserve"> x </v>
      </c>
    </row>
    <row r="563" spans="4:4" x14ac:dyDescent="0.25">
      <c r="D563" t="str">
        <f t="shared" si="12"/>
        <v xml:space="preserve"> x </v>
      </c>
    </row>
    <row r="564" spans="4:4" x14ac:dyDescent="0.25">
      <c r="D564" t="str">
        <f t="shared" si="12"/>
        <v xml:space="preserve"> x </v>
      </c>
    </row>
    <row r="565" spans="4:4" x14ac:dyDescent="0.25">
      <c r="D565" t="str">
        <f t="shared" si="12"/>
        <v xml:space="preserve"> x </v>
      </c>
    </row>
    <row r="566" spans="4:4" x14ac:dyDescent="0.25">
      <c r="D566" t="str">
        <f t="shared" si="12"/>
        <v xml:space="preserve"> x </v>
      </c>
    </row>
    <row r="567" spans="4:4" x14ac:dyDescent="0.25">
      <c r="D567" t="str">
        <f t="shared" si="12"/>
        <v xml:space="preserve"> x </v>
      </c>
    </row>
    <row r="568" spans="4:4" x14ac:dyDescent="0.25">
      <c r="D568" t="str">
        <f t="shared" si="12"/>
        <v xml:space="preserve"> x </v>
      </c>
    </row>
    <row r="569" spans="4:4" x14ac:dyDescent="0.25">
      <c r="D569" t="str">
        <f t="shared" si="12"/>
        <v xml:space="preserve"> x </v>
      </c>
    </row>
    <row r="570" spans="4:4" x14ac:dyDescent="0.25">
      <c r="D570" t="str">
        <f t="shared" si="12"/>
        <v xml:space="preserve"> x </v>
      </c>
    </row>
    <row r="571" spans="4:4" x14ac:dyDescent="0.25">
      <c r="D571" t="str">
        <f t="shared" si="12"/>
        <v xml:space="preserve"> x </v>
      </c>
    </row>
    <row r="572" spans="4:4" x14ac:dyDescent="0.25">
      <c r="D572" t="str">
        <f t="shared" si="12"/>
        <v xml:space="preserve"> x </v>
      </c>
    </row>
    <row r="573" spans="4:4" x14ac:dyDescent="0.25">
      <c r="D573" t="str">
        <f t="shared" si="12"/>
        <v xml:space="preserve"> x </v>
      </c>
    </row>
    <row r="574" spans="4:4" x14ac:dyDescent="0.25">
      <c r="D574" t="str">
        <f t="shared" si="12"/>
        <v xml:space="preserve"> x </v>
      </c>
    </row>
    <row r="575" spans="4:4" x14ac:dyDescent="0.25">
      <c r="D575" t="str">
        <f t="shared" si="12"/>
        <v xml:space="preserve"> x </v>
      </c>
    </row>
    <row r="576" spans="4:4" x14ac:dyDescent="0.25">
      <c r="D576" t="str">
        <f t="shared" si="12"/>
        <v xml:space="preserve"> x </v>
      </c>
    </row>
    <row r="577" spans="4:4" x14ac:dyDescent="0.25">
      <c r="D577" t="str">
        <f t="shared" si="12"/>
        <v xml:space="preserve"> x </v>
      </c>
    </row>
    <row r="578" spans="4:4" x14ac:dyDescent="0.25">
      <c r="D578" t="str">
        <f t="shared" si="12"/>
        <v xml:space="preserve"> x </v>
      </c>
    </row>
    <row r="579" spans="4:4" x14ac:dyDescent="0.25">
      <c r="D579" t="str">
        <f t="shared" ref="D579:D613" si="13">_xlfn.CONCAT(B579," x ",C579)</f>
        <v xml:space="preserve"> x </v>
      </c>
    </row>
    <row r="580" spans="4:4" x14ac:dyDescent="0.25">
      <c r="D580" t="str">
        <f t="shared" si="13"/>
        <v xml:space="preserve"> x </v>
      </c>
    </row>
    <row r="581" spans="4:4" x14ac:dyDescent="0.25">
      <c r="D581" t="str">
        <f t="shared" si="13"/>
        <v xml:space="preserve"> x </v>
      </c>
    </row>
    <row r="582" spans="4:4" x14ac:dyDescent="0.25">
      <c r="D582" t="str">
        <f t="shared" si="13"/>
        <v xml:space="preserve"> x </v>
      </c>
    </row>
    <row r="583" spans="4:4" x14ac:dyDescent="0.25">
      <c r="D583" t="str">
        <f t="shared" si="13"/>
        <v xml:space="preserve"> x </v>
      </c>
    </row>
    <row r="584" spans="4:4" x14ac:dyDescent="0.25">
      <c r="D584" t="str">
        <f t="shared" si="13"/>
        <v xml:space="preserve"> x </v>
      </c>
    </row>
    <row r="585" spans="4:4" x14ac:dyDescent="0.25">
      <c r="D585" t="str">
        <f t="shared" si="13"/>
        <v xml:space="preserve"> x </v>
      </c>
    </row>
    <row r="586" spans="4:4" x14ac:dyDescent="0.25">
      <c r="D586" t="str">
        <f t="shared" si="13"/>
        <v xml:space="preserve"> x </v>
      </c>
    </row>
    <row r="587" spans="4:4" x14ac:dyDescent="0.25">
      <c r="D587" t="str">
        <f t="shared" si="13"/>
        <v xml:space="preserve"> x </v>
      </c>
    </row>
    <row r="588" spans="4:4" x14ac:dyDescent="0.25">
      <c r="D588" t="str">
        <f t="shared" si="13"/>
        <v xml:space="preserve"> x </v>
      </c>
    </row>
    <row r="589" spans="4:4" x14ac:dyDescent="0.25">
      <c r="D589" t="str">
        <f t="shared" si="13"/>
        <v xml:space="preserve"> x </v>
      </c>
    </row>
    <row r="590" spans="4:4" x14ac:dyDescent="0.25">
      <c r="D590" t="str">
        <f t="shared" si="13"/>
        <v xml:space="preserve"> x </v>
      </c>
    </row>
    <row r="591" spans="4:4" x14ac:dyDescent="0.25">
      <c r="D591" t="str">
        <f t="shared" si="13"/>
        <v xml:space="preserve"> x </v>
      </c>
    </row>
    <row r="592" spans="4:4" x14ac:dyDescent="0.25">
      <c r="D592" t="str">
        <f t="shared" si="13"/>
        <v xml:space="preserve"> x </v>
      </c>
    </row>
    <row r="593" spans="4:4" x14ac:dyDescent="0.25">
      <c r="D593" t="str">
        <f t="shared" si="13"/>
        <v xml:space="preserve"> x </v>
      </c>
    </row>
    <row r="594" spans="4:4" x14ac:dyDescent="0.25">
      <c r="D594" t="str">
        <f t="shared" si="13"/>
        <v xml:space="preserve"> x </v>
      </c>
    </row>
    <row r="595" spans="4:4" x14ac:dyDescent="0.25">
      <c r="D595" t="str">
        <f t="shared" si="13"/>
        <v xml:space="preserve"> x </v>
      </c>
    </row>
    <row r="596" spans="4:4" x14ac:dyDescent="0.25">
      <c r="D596" t="str">
        <f t="shared" si="13"/>
        <v xml:space="preserve"> x </v>
      </c>
    </row>
    <row r="597" spans="4:4" x14ac:dyDescent="0.25">
      <c r="D597" t="str">
        <f t="shared" si="13"/>
        <v xml:space="preserve"> x </v>
      </c>
    </row>
    <row r="598" spans="4:4" x14ac:dyDescent="0.25">
      <c r="D598" t="str">
        <f t="shared" si="13"/>
        <v xml:space="preserve"> x </v>
      </c>
    </row>
    <row r="599" spans="4:4" x14ac:dyDescent="0.25">
      <c r="D599" t="str">
        <f t="shared" si="13"/>
        <v xml:space="preserve"> x </v>
      </c>
    </row>
    <row r="600" spans="4:4" x14ac:dyDescent="0.25">
      <c r="D600" t="str">
        <f t="shared" si="13"/>
        <v xml:space="preserve"> x </v>
      </c>
    </row>
    <row r="601" spans="4:4" x14ac:dyDescent="0.25">
      <c r="D601" t="str">
        <f t="shared" si="13"/>
        <v xml:space="preserve"> x </v>
      </c>
    </row>
    <row r="602" spans="4:4" x14ac:dyDescent="0.25">
      <c r="D602" t="str">
        <f t="shared" si="13"/>
        <v xml:space="preserve"> x </v>
      </c>
    </row>
    <row r="603" spans="4:4" x14ac:dyDescent="0.25">
      <c r="D603" t="str">
        <f t="shared" si="13"/>
        <v xml:space="preserve"> x </v>
      </c>
    </row>
    <row r="604" spans="4:4" x14ac:dyDescent="0.25">
      <c r="D604" t="str">
        <f t="shared" si="13"/>
        <v xml:space="preserve"> x </v>
      </c>
    </row>
    <row r="605" spans="4:4" x14ac:dyDescent="0.25">
      <c r="D605" t="str">
        <f t="shared" si="13"/>
        <v xml:space="preserve"> x </v>
      </c>
    </row>
    <row r="606" spans="4:4" x14ac:dyDescent="0.25">
      <c r="D606" t="str">
        <f t="shared" si="13"/>
        <v xml:space="preserve"> x </v>
      </c>
    </row>
    <row r="607" spans="4:4" x14ac:dyDescent="0.25">
      <c r="D607" t="str">
        <f t="shared" si="13"/>
        <v xml:space="preserve"> x </v>
      </c>
    </row>
    <row r="608" spans="4:4" x14ac:dyDescent="0.25">
      <c r="D608" t="str">
        <f t="shared" si="13"/>
        <v xml:space="preserve"> x </v>
      </c>
    </row>
    <row r="609" spans="4:4" x14ac:dyDescent="0.25">
      <c r="D609" t="str">
        <f t="shared" si="13"/>
        <v xml:space="preserve"> x </v>
      </c>
    </row>
    <row r="610" spans="4:4" x14ac:dyDescent="0.25">
      <c r="D610" t="str">
        <f t="shared" si="13"/>
        <v xml:space="preserve"> x </v>
      </c>
    </row>
    <row r="611" spans="4:4" x14ac:dyDescent="0.25">
      <c r="D611" t="str">
        <f t="shared" si="13"/>
        <v xml:space="preserve"> x </v>
      </c>
    </row>
    <row r="612" spans="4:4" x14ac:dyDescent="0.25">
      <c r="D612" t="str">
        <f t="shared" si="13"/>
        <v xml:space="preserve"> x </v>
      </c>
    </row>
    <row r="613" spans="4:4" x14ac:dyDescent="0.25">
      <c r="D613" t="str">
        <f t="shared" si="13"/>
        <v xml:space="preserve"> x </v>
      </c>
    </row>
  </sheetData>
  <autoFilter ref="A1:S613" xr:uid="{00000000-0001-0000-0000-000000000000}"/>
  <conditionalFormatting sqref="B1:B1048576">
    <cfRule type="expression" priority="1">
      <formula>$K$14&gt;0</formula>
    </cfRule>
  </conditionalFormatting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Enzo Araújo</cp:lastModifiedBy>
  <dcterms:created xsi:type="dcterms:W3CDTF">2025-07-29T09:37:57Z</dcterms:created>
  <dcterms:modified xsi:type="dcterms:W3CDTF">2025-07-31T11:41:44Z</dcterms:modified>
</cp:coreProperties>
</file>