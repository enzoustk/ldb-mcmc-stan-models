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enzou\ldb-models\"/>
    </mc:Choice>
  </mc:AlternateContent>
  <xr:revisionPtr revIDLastSave="0" documentId="13_ncr:1_{89A42603-CD81-4A6B-B976-DD8A11496F2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otals" sheetId="3" r:id="rId1"/>
    <sheet name="Q1" sheetId="4" r:id="rId2"/>
    <sheet name="Raw_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4" l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L3" i="4"/>
  <c r="M3" i="4" s="1"/>
  <c r="L4" i="4"/>
  <c r="M4" i="4" s="1"/>
  <c r="L5" i="4"/>
  <c r="M5" i="4" s="1"/>
  <c r="M6" i="4"/>
  <c r="L7" i="4"/>
  <c r="M7" i="4"/>
  <c r="L8" i="4"/>
  <c r="M8" i="4" s="1"/>
  <c r="L9" i="4"/>
  <c r="M9" i="4" s="1"/>
  <c r="L10" i="4"/>
  <c r="M10" i="4"/>
  <c r="L11" i="4"/>
  <c r="M11" i="4" s="1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33" i="4"/>
  <c r="M33" i="4" s="1"/>
  <c r="L34" i="4"/>
  <c r="M34" i="4" s="1"/>
  <c r="L35" i="4"/>
  <c r="M35" i="4" s="1"/>
  <c r="L36" i="4"/>
  <c r="M36" i="4" s="1"/>
  <c r="L37" i="4"/>
  <c r="M37" i="4" s="1"/>
  <c r="L38" i="4"/>
  <c r="M38" i="4" s="1"/>
  <c r="L39" i="4"/>
  <c r="M39" i="4" s="1"/>
  <c r="L40" i="4"/>
  <c r="M40" i="4"/>
  <c r="L41" i="4"/>
  <c r="M41" i="4" s="1"/>
  <c r="L42" i="4"/>
  <c r="M42" i="4" s="1"/>
  <c r="L43" i="4"/>
  <c r="M43" i="4"/>
  <c r="L44" i="4"/>
  <c r="M44" i="4" s="1"/>
  <c r="L45" i="4"/>
  <c r="M45" i="4" s="1"/>
  <c r="L46" i="4"/>
  <c r="M46" i="4" s="1"/>
  <c r="L47" i="4"/>
  <c r="M47" i="4"/>
  <c r="L48" i="4"/>
  <c r="M48" i="4" s="1"/>
  <c r="L49" i="4"/>
  <c r="M49" i="4"/>
  <c r="L2" i="4"/>
  <c r="M2" i="4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2" i="4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2" i="3"/>
  <c r="V2" i="3" s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2" i="3"/>
</calcChain>
</file>

<file path=xl/sharedStrings.xml><?xml version="1.0" encoding="utf-8"?>
<sst xmlns="http://schemas.openxmlformats.org/spreadsheetml/2006/main" count="352" uniqueCount="62">
  <si>
    <t>date</t>
  </si>
  <si>
    <t>home_team</t>
  </si>
  <si>
    <t>away_team</t>
  </si>
  <si>
    <t>home_q1</t>
  </si>
  <si>
    <t>away_q1</t>
  </si>
  <si>
    <t>home_final</t>
  </si>
  <si>
    <t>away_final</t>
  </si>
  <si>
    <t>handicap</t>
  </si>
  <si>
    <t>home_od</t>
  </si>
  <si>
    <t>away_od</t>
  </si>
  <si>
    <t>handicap_3</t>
  </si>
  <si>
    <t>over_od_3</t>
  </si>
  <si>
    <t>under_od_3</t>
  </si>
  <si>
    <t>handicap_8</t>
  </si>
  <si>
    <t>home_od_8</t>
  </si>
  <si>
    <t>away_od_8</t>
  </si>
  <si>
    <t>pr_home_win</t>
  </si>
  <si>
    <t>home_mean</t>
  </si>
  <si>
    <t>away_mean</t>
  </si>
  <si>
    <t>total_mean</t>
  </si>
  <si>
    <t>diff_mean</t>
  </si>
  <si>
    <t>home_p50</t>
  </si>
  <si>
    <t>away_p50</t>
  </si>
  <si>
    <t>total_p50</t>
  </si>
  <si>
    <t>pr_home_cover</t>
  </si>
  <si>
    <t>pr_total_gt_handicap_3</t>
  </si>
  <si>
    <t>pr_home_cover_q1_handicap_8</t>
  </si>
  <si>
    <t>Bauru Basket2025</t>
  </si>
  <si>
    <t>São Paulo FC2025</t>
  </si>
  <si>
    <t>Corinthians2025</t>
  </si>
  <si>
    <t>Thalia/PH.D Esportes2025</t>
  </si>
  <si>
    <t>Mogi2025</t>
  </si>
  <si>
    <t>São José Basketball2025</t>
  </si>
  <si>
    <t>Pinheiros2025</t>
  </si>
  <si>
    <t>ADRM2025</t>
  </si>
  <si>
    <t>Paulistano2025</t>
  </si>
  <si>
    <t>IVV/CETAF2025</t>
  </si>
  <si>
    <t>Vasco/Tijuca2025</t>
  </si>
  <si>
    <t>UNIFACISA2025</t>
  </si>
  <si>
    <t>Botafogo2025</t>
  </si>
  <si>
    <t>Flamengo2025</t>
  </si>
  <si>
    <t>B.Cearense2025</t>
  </si>
  <si>
    <t>Caxias2025</t>
  </si>
  <si>
    <t>Campo Mourão2025</t>
  </si>
  <si>
    <t>SESI Franca2025</t>
  </si>
  <si>
    <t>Pato Basquete2025</t>
  </si>
  <si>
    <t>Minas2025</t>
  </si>
  <si>
    <t>União Corinthians2025</t>
  </si>
  <si>
    <t>Caixa Brasília Basquete2025</t>
  </si>
  <si>
    <t>prob_over</t>
  </si>
  <si>
    <t>prob_under</t>
  </si>
  <si>
    <t>ev_over</t>
  </si>
  <si>
    <t>pl</t>
  </si>
  <si>
    <t>TOTAL</t>
  </si>
  <si>
    <t>ev_under</t>
  </si>
  <si>
    <t>prob_home_q1</t>
  </si>
  <si>
    <t>home_mov_q1</t>
  </si>
  <si>
    <t>ev_home</t>
  </si>
  <si>
    <t>pl_home</t>
  </si>
  <si>
    <t>ev_away</t>
  </si>
  <si>
    <t>pl_away</t>
  </si>
  <si>
    <t>prob_away_q1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</si>
</sst>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6233-74CD-4DBE-A6D7-32FC53E23FB9}">
  <dimension ref="A1:V49"/>
  <sheetViews>
    <sheetView topLeftCell="C1" workbookViewId="0">
      <selection activeCell="S2" sqref="S2"/>
    </sheetView>
  </sheetViews>
  <sheetFormatPr defaultRowHeight="15" x14ac:dyDescent="0.25"/>
  <cols>
    <col min="1" max="1" width="18.28515625" bestFit="1" customWidth="1"/>
    <col min="2" max="3" width="25.7109375" bestFit="1" customWidth="1"/>
    <col min="4" max="4" width="11.140625" bestFit="1" customWidth="1"/>
    <col min="5" max="5" width="10.5703125" bestFit="1" customWidth="1"/>
    <col min="6" max="6" width="10.5703125" customWidth="1"/>
    <col min="7" max="7" width="11" bestFit="1" customWidth="1"/>
    <col min="8" max="8" width="10.28515625" bestFit="1" customWidth="1"/>
    <col min="9" max="9" width="11.5703125" bestFit="1" customWidth="1"/>
    <col min="10" max="10" width="12.140625" bestFit="1" customWidth="1"/>
    <col min="11" max="11" width="11.5703125" bestFit="1" customWidth="1"/>
    <col min="12" max="12" width="11.140625" bestFit="1" customWidth="1"/>
    <col min="13" max="13" width="10.140625" bestFit="1" customWidth="1"/>
    <col min="14" max="14" width="10.28515625" bestFit="1" customWidth="1"/>
    <col min="15" max="15" width="9.7109375" bestFit="1" customWidth="1"/>
    <col min="16" max="16" width="9.28515625" bestFit="1" customWidth="1"/>
    <col min="17" max="17" width="12.28515625" customWidth="1"/>
    <col min="18" max="18" width="11.42578125" bestFit="1" customWidth="1"/>
    <col min="20" max="20" width="12.28515625" customWidth="1"/>
    <col min="21" max="21" width="11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53</v>
      </c>
      <c r="G1" s="1" t="s">
        <v>10</v>
      </c>
      <c r="H1" s="1" t="s">
        <v>11</v>
      </c>
      <c r="I1" s="1" t="s">
        <v>12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49</v>
      </c>
      <c r="R1" s="4" t="s">
        <v>51</v>
      </c>
      <c r="S1" s="3" t="s">
        <v>52</v>
      </c>
      <c r="T1" s="1" t="s">
        <v>50</v>
      </c>
      <c r="U1" s="4" t="s">
        <v>54</v>
      </c>
      <c r="V1" s="4" t="s">
        <v>52</v>
      </c>
    </row>
    <row r="2" spans="1:22" x14ac:dyDescent="0.25">
      <c r="A2" s="2">
        <v>45867.375</v>
      </c>
      <c r="B2" t="s">
        <v>27</v>
      </c>
      <c r="C2" t="s">
        <v>28</v>
      </c>
      <c r="D2">
        <v>76</v>
      </c>
      <c r="E2">
        <v>79</v>
      </c>
      <c r="F2">
        <f>D2+E2</f>
        <v>155</v>
      </c>
      <c r="G2">
        <v>150.5</v>
      </c>
      <c r="H2">
        <v>1.833</v>
      </c>
      <c r="I2">
        <v>1.833</v>
      </c>
      <c r="J2">
        <v>67.644999999999996</v>
      </c>
      <c r="K2">
        <v>82.127250000000004</v>
      </c>
      <c r="L2">
        <v>149.77225000000001</v>
      </c>
      <c r="M2">
        <v>-14.482250000000001</v>
      </c>
      <c r="N2">
        <v>67</v>
      </c>
      <c r="O2">
        <v>81</v>
      </c>
      <c r="P2">
        <v>149</v>
      </c>
      <c r="Q2">
        <v>0.47849999999999998</v>
      </c>
      <c r="R2">
        <f>Q2*H2-1</f>
        <v>-0.1229095</v>
      </c>
      <c r="S2" t="str">
        <f>IF(R2&gt;0,IF(F2&gt;G2,H2-1,-1),"")</f>
        <v/>
      </c>
      <c r="T2">
        <f>1-Q2</f>
        <v>0.52150000000000007</v>
      </c>
      <c r="U2">
        <f>T2*I2-1</f>
        <v>-4.4090499999999921E-2</v>
      </c>
      <c r="V2" t="str">
        <f>IF(U2&gt;0,IF(F2&lt;G2,I2-1,-1),"")</f>
        <v/>
      </c>
    </row>
    <row r="3" spans="1:22" x14ac:dyDescent="0.25">
      <c r="A3" s="2">
        <v>45867.46875</v>
      </c>
      <c r="B3" t="s">
        <v>29</v>
      </c>
      <c r="C3" t="s">
        <v>30</v>
      </c>
      <c r="D3">
        <v>101</v>
      </c>
      <c r="E3">
        <v>71</v>
      </c>
      <c r="F3">
        <f t="shared" ref="F3:F49" si="0">D3+E3</f>
        <v>172</v>
      </c>
      <c r="G3">
        <v>143.5</v>
      </c>
      <c r="H3">
        <v>1.833</v>
      </c>
      <c r="I3">
        <v>1.833</v>
      </c>
      <c r="J3">
        <v>83.284000000000006</v>
      </c>
      <c r="K3">
        <v>62.684750000000001</v>
      </c>
      <c r="L3">
        <v>145.96875</v>
      </c>
      <c r="M3">
        <v>20.599250000000001</v>
      </c>
      <c r="N3">
        <v>83</v>
      </c>
      <c r="O3">
        <v>62</v>
      </c>
      <c r="P3">
        <v>145</v>
      </c>
      <c r="Q3">
        <v>0.52975000000000005</v>
      </c>
      <c r="R3">
        <f t="shared" ref="R3:R49" si="1">Q3*H3-1</f>
        <v>-2.8968249999999918E-2</v>
      </c>
      <c r="S3" t="str">
        <f t="shared" ref="S3:S49" si="2">IF(R3&gt;0,IF(F3&gt;G3,H3-1,-1),"")</f>
        <v/>
      </c>
      <c r="T3">
        <f t="shared" ref="T3:T49" si="3">1-Q3</f>
        <v>0.47024999999999995</v>
      </c>
      <c r="U3">
        <f t="shared" ref="U3:U49" si="4">T3*I3-1</f>
        <v>-0.13803175000000012</v>
      </c>
      <c r="V3" t="str">
        <f t="shared" ref="V3:V49" si="5">IF(U3&gt;0,IF(F3&lt;G3,I3-1,-1),"")</f>
        <v/>
      </c>
    </row>
    <row r="4" spans="1:22" x14ac:dyDescent="0.25">
      <c r="A4" s="2">
        <v>45867.583333333343</v>
      </c>
      <c r="B4" t="s">
        <v>31</v>
      </c>
      <c r="C4" t="s">
        <v>32</v>
      </c>
      <c r="D4">
        <v>74</v>
      </c>
      <c r="E4">
        <v>87</v>
      </c>
      <c r="F4">
        <f t="shared" si="0"/>
        <v>161</v>
      </c>
      <c r="G4">
        <v>135.5</v>
      </c>
      <c r="H4">
        <v>1.833</v>
      </c>
      <c r="I4">
        <v>1.833</v>
      </c>
      <c r="J4">
        <v>68.223749999999995</v>
      </c>
      <c r="K4">
        <v>71.417249999999996</v>
      </c>
      <c r="L4">
        <v>139.64099999999999</v>
      </c>
      <c r="M4">
        <v>-3.1934999999999998</v>
      </c>
      <c r="N4">
        <v>67</v>
      </c>
      <c r="O4">
        <v>71</v>
      </c>
      <c r="P4">
        <v>139</v>
      </c>
      <c r="Q4">
        <v>0.56874999999999998</v>
      </c>
      <c r="R4">
        <f t="shared" si="1"/>
        <v>4.2518749999999939E-2</v>
      </c>
      <c r="S4">
        <f t="shared" si="2"/>
        <v>0.83299999999999996</v>
      </c>
      <c r="T4">
        <f t="shared" si="3"/>
        <v>0.43125000000000002</v>
      </c>
      <c r="U4">
        <f t="shared" si="4"/>
        <v>-0.20951874999999998</v>
      </c>
      <c r="V4" t="str">
        <f t="shared" si="5"/>
        <v/>
      </c>
    </row>
    <row r="5" spans="1:22" x14ac:dyDescent="0.25">
      <c r="A5" s="2">
        <v>45867.677083333343</v>
      </c>
      <c r="B5" t="s">
        <v>33</v>
      </c>
      <c r="C5" t="s">
        <v>34</v>
      </c>
      <c r="D5">
        <v>110</v>
      </c>
      <c r="E5">
        <v>59</v>
      </c>
      <c r="F5">
        <f t="shared" si="0"/>
        <v>169</v>
      </c>
      <c r="G5">
        <v>128.5</v>
      </c>
      <c r="H5">
        <v>1.8</v>
      </c>
      <c r="I5">
        <v>1.869</v>
      </c>
      <c r="J5">
        <v>75.03125</v>
      </c>
      <c r="K5">
        <v>54.484250000000003</v>
      </c>
      <c r="L5">
        <v>129.5155</v>
      </c>
      <c r="M5">
        <v>20.547000000000001</v>
      </c>
      <c r="N5">
        <v>75</v>
      </c>
      <c r="O5">
        <v>54</v>
      </c>
      <c r="P5">
        <v>129</v>
      </c>
      <c r="Q5">
        <v>0.51924999999999999</v>
      </c>
      <c r="R5">
        <f t="shared" si="1"/>
        <v>-6.5350000000000019E-2</v>
      </c>
      <c r="S5" t="str">
        <f t="shared" si="2"/>
        <v/>
      </c>
      <c r="T5">
        <f t="shared" si="3"/>
        <v>0.48075000000000001</v>
      </c>
      <c r="U5">
        <f t="shared" si="4"/>
        <v>-0.10147824999999999</v>
      </c>
      <c r="V5" t="str">
        <f t="shared" si="5"/>
        <v/>
      </c>
    </row>
    <row r="6" spans="1:22" x14ac:dyDescent="0.25">
      <c r="A6" s="2">
        <v>45868.375</v>
      </c>
      <c r="B6" t="s">
        <v>35</v>
      </c>
      <c r="C6" t="s">
        <v>27</v>
      </c>
      <c r="D6">
        <v>76</v>
      </c>
      <c r="E6">
        <v>55</v>
      </c>
      <c r="F6">
        <f t="shared" si="0"/>
        <v>131</v>
      </c>
      <c r="G6">
        <v>153.5</v>
      </c>
      <c r="H6">
        <v>1.833</v>
      </c>
      <c r="I6">
        <v>1.833</v>
      </c>
      <c r="J6">
        <v>86.433499999999995</v>
      </c>
      <c r="K6">
        <v>66.019000000000005</v>
      </c>
      <c r="L6">
        <v>152.45249999999999</v>
      </c>
      <c r="M6">
        <v>20.4145</v>
      </c>
      <c r="N6">
        <v>85</v>
      </c>
      <c r="O6">
        <v>65</v>
      </c>
      <c r="P6">
        <v>152</v>
      </c>
      <c r="Q6">
        <v>0.46274999999999999</v>
      </c>
      <c r="R6">
        <f t="shared" si="1"/>
        <v>-0.15177925000000003</v>
      </c>
      <c r="S6" t="str">
        <f t="shared" si="2"/>
        <v/>
      </c>
      <c r="T6">
        <f t="shared" si="3"/>
        <v>0.53725000000000001</v>
      </c>
      <c r="U6">
        <f t="shared" si="4"/>
        <v>-1.5220750000000005E-2</v>
      </c>
      <c r="V6" t="str">
        <f t="shared" si="5"/>
        <v/>
      </c>
    </row>
    <row r="7" spans="1:22" x14ac:dyDescent="0.25">
      <c r="A7" s="2">
        <v>45868.395833333343</v>
      </c>
      <c r="B7" t="s">
        <v>36</v>
      </c>
      <c r="C7" t="s">
        <v>37</v>
      </c>
      <c r="D7">
        <v>63</v>
      </c>
      <c r="E7">
        <v>70</v>
      </c>
      <c r="F7">
        <f t="shared" si="0"/>
        <v>133</v>
      </c>
      <c r="G7">
        <v>137.5</v>
      </c>
      <c r="H7">
        <v>1.833</v>
      </c>
      <c r="I7">
        <v>1.833</v>
      </c>
      <c r="J7">
        <v>68.667749999999998</v>
      </c>
      <c r="K7">
        <v>63.405999999999999</v>
      </c>
      <c r="L7">
        <v>132.07374999999999</v>
      </c>
      <c r="M7">
        <v>5.2617500000000001</v>
      </c>
      <c r="N7">
        <v>68</v>
      </c>
      <c r="O7">
        <v>63</v>
      </c>
      <c r="P7">
        <v>132</v>
      </c>
      <c r="Q7">
        <v>0.38224999999999998</v>
      </c>
      <c r="R7">
        <f t="shared" si="1"/>
        <v>-0.29933575000000001</v>
      </c>
      <c r="S7" t="str">
        <f t="shared" si="2"/>
        <v/>
      </c>
      <c r="T7">
        <f t="shared" si="3"/>
        <v>0.61775000000000002</v>
      </c>
      <c r="U7">
        <f t="shared" si="4"/>
        <v>0.13233574999999997</v>
      </c>
      <c r="V7">
        <f t="shared" si="5"/>
        <v>0.83299999999999996</v>
      </c>
    </row>
    <row r="8" spans="1:22" x14ac:dyDescent="0.25">
      <c r="A8" s="2">
        <v>45868.46875</v>
      </c>
      <c r="B8" t="s">
        <v>28</v>
      </c>
      <c r="C8" t="s">
        <v>29</v>
      </c>
      <c r="D8">
        <v>99</v>
      </c>
      <c r="E8">
        <v>101</v>
      </c>
      <c r="F8">
        <f t="shared" si="0"/>
        <v>200</v>
      </c>
      <c r="G8">
        <v>160.5</v>
      </c>
      <c r="H8">
        <v>1.833</v>
      </c>
      <c r="I8">
        <v>1.833</v>
      </c>
      <c r="J8">
        <v>74.583250000000007</v>
      </c>
      <c r="K8">
        <v>78.814999999999998</v>
      </c>
      <c r="L8">
        <v>153.39824999999999</v>
      </c>
      <c r="M8">
        <v>-4.2317499999999999</v>
      </c>
      <c r="N8">
        <v>74</v>
      </c>
      <c r="O8">
        <v>78</v>
      </c>
      <c r="P8">
        <v>153</v>
      </c>
      <c r="Q8">
        <v>0.36675000000000002</v>
      </c>
      <c r="R8">
        <f t="shared" si="1"/>
        <v>-0.32774724999999993</v>
      </c>
      <c r="S8" t="str">
        <f t="shared" si="2"/>
        <v/>
      </c>
      <c r="T8">
        <f t="shared" si="3"/>
        <v>0.63324999999999998</v>
      </c>
      <c r="U8">
        <f t="shared" si="4"/>
        <v>0.16074725000000001</v>
      </c>
      <c r="V8">
        <f t="shared" si="5"/>
        <v>-1</v>
      </c>
    </row>
    <row r="9" spans="1:22" x14ac:dyDescent="0.25">
      <c r="A9" s="2">
        <v>45868.489583333343</v>
      </c>
      <c r="B9" t="s">
        <v>38</v>
      </c>
      <c r="C9" t="s">
        <v>39</v>
      </c>
      <c r="D9">
        <v>55</v>
      </c>
      <c r="E9">
        <v>116</v>
      </c>
      <c r="F9">
        <f t="shared" si="0"/>
        <v>171</v>
      </c>
      <c r="G9">
        <v>152.5</v>
      </c>
      <c r="H9">
        <v>1.833</v>
      </c>
      <c r="I9">
        <v>1.833</v>
      </c>
      <c r="J9">
        <v>66.948499999999996</v>
      </c>
      <c r="K9">
        <v>81.921999999999997</v>
      </c>
      <c r="L9">
        <v>148.87049999999999</v>
      </c>
      <c r="M9">
        <v>-14.9735</v>
      </c>
      <c r="N9">
        <v>66</v>
      </c>
      <c r="O9">
        <v>81</v>
      </c>
      <c r="P9">
        <v>148</v>
      </c>
      <c r="Q9">
        <v>0.41675000000000001</v>
      </c>
      <c r="R9">
        <f t="shared" si="1"/>
        <v>-0.23609725000000004</v>
      </c>
      <c r="S9" t="str">
        <f t="shared" si="2"/>
        <v/>
      </c>
      <c r="T9">
        <f t="shared" si="3"/>
        <v>0.58325000000000005</v>
      </c>
      <c r="U9">
        <f t="shared" si="4"/>
        <v>6.9097249999999999E-2</v>
      </c>
      <c r="V9">
        <f t="shared" si="5"/>
        <v>-1</v>
      </c>
    </row>
    <row r="10" spans="1:22" x14ac:dyDescent="0.25">
      <c r="A10" s="2">
        <v>45868.583333333343</v>
      </c>
      <c r="B10" t="s">
        <v>40</v>
      </c>
      <c r="C10" t="s">
        <v>41</v>
      </c>
      <c r="D10">
        <v>84</v>
      </c>
      <c r="E10">
        <v>64</v>
      </c>
      <c r="F10">
        <f t="shared" si="0"/>
        <v>148</v>
      </c>
      <c r="G10">
        <v>149.5</v>
      </c>
      <c r="H10">
        <v>1.833</v>
      </c>
      <c r="I10">
        <v>1.833</v>
      </c>
      <c r="J10">
        <v>78.456500000000005</v>
      </c>
      <c r="K10">
        <v>70.503</v>
      </c>
      <c r="L10">
        <v>148.95949999999999</v>
      </c>
      <c r="M10">
        <v>7.9535</v>
      </c>
      <c r="N10">
        <v>78</v>
      </c>
      <c r="O10">
        <v>70</v>
      </c>
      <c r="P10">
        <v>148</v>
      </c>
      <c r="Q10">
        <v>0.47349999999999998</v>
      </c>
      <c r="R10">
        <f t="shared" si="1"/>
        <v>-0.13207450000000009</v>
      </c>
      <c r="S10" t="str">
        <f t="shared" si="2"/>
        <v/>
      </c>
      <c r="T10">
        <f t="shared" si="3"/>
        <v>0.52649999999999997</v>
      </c>
      <c r="U10">
        <f t="shared" si="4"/>
        <v>-3.4925500000000054E-2</v>
      </c>
      <c r="V10" t="str">
        <f t="shared" si="5"/>
        <v/>
      </c>
    </row>
    <row r="11" spans="1:22" x14ac:dyDescent="0.25">
      <c r="A11" s="2">
        <v>45868.583333333343</v>
      </c>
      <c r="B11" t="s">
        <v>42</v>
      </c>
      <c r="C11" t="s">
        <v>43</v>
      </c>
      <c r="D11">
        <v>72</v>
      </c>
      <c r="E11">
        <v>73</v>
      </c>
      <c r="F11">
        <f t="shared" si="0"/>
        <v>145</v>
      </c>
      <c r="G11">
        <v>146.5</v>
      </c>
      <c r="H11">
        <v>1.833</v>
      </c>
      <c r="I11">
        <v>1.833</v>
      </c>
      <c r="J11">
        <v>73.611249999999998</v>
      </c>
      <c r="K11">
        <v>65.601500000000001</v>
      </c>
      <c r="L11">
        <v>139.21275</v>
      </c>
      <c r="M11">
        <v>8.0097500000000004</v>
      </c>
      <c r="N11">
        <v>73</v>
      </c>
      <c r="O11">
        <v>65</v>
      </c>
      <c r="P11">
        <v>138</v>
      </c>
      <c r="Q11">
        <v>0.35675000000000001</v>
      </c>
      <c r="R11">
        <f t="shared" si="1"/>
        <v>-0.34607725</v>
      </c>
      <c r="S11" t="str">
        <f t="shared" si="2"/>
        <v/>
      </c>
      <c r="T11">
        <f t="shared" si="3"/>
        <v>0.64324999999999999</v>
      </c>
      <c r="U11">
        <f t="shared" si="4"/>
        <v>0.17907724999999997</v>
      </c>
      <c r="V11">
        <f t="shared" si="5"/>
        <v>0.83299999999999996</v>
      </c>
    </row>
    <row r="12" spans="1:22" x14ac:dyDescent="0.25">
      <c r="A12" s="2">
        <v>45868.625</v>
      </c>
      <c r="B12" t="s">
        <v>44</v>
      </c>
      <c r="C12" t="s">
        <v>31</v>
      </c>
      <c r="D12">
        <v>70</v>
      </c>
      <c r="E12">
        <v>66</v>
      </c>
      <c r="F12">
        <f t="shared" si="0"/>
        <v>136</v>
      </c>
      <c r="G12">
        <v>138.5</v>
      </c>
      <c r="H12">
        <v>1.833</v>
      </c>
      <c r="I12">
        <v>1.833</v>
      </c>
      <c r="J12">
        <v>69.277749999999997</v>
      </c>
      <c r="K12">
        <v>68.201499999999996</v>
      </c>
      <c r="L12">
        <v>137.47925000000001</v>
      </c>
      <c r="M12">
        <v>1.0762499999999999</v>
      </c>
      <c r="N12">
        <v>68</v>
      </c>
      <c r="O12">
        <v>68</v>
      </c>
      <c r="P12">
        <v>137</v>
      </c>
      <c r="Q12">
        <v>0.46600000000000003</v>
      </c>
      <c r="R12">
        <f t="shared" si="1"/>
        <v>-0.14582200000000001</v>
      </c>
      <c r="S12" t="str">
        <f t="shared" si="2"/>
        <v/>
      </c>
      <c r="T12">
        <f t="shared" si="3"/>
        <v>0.53400000000000003</v>
      </c>
      <c r="U12">
        <f t="shared" si="4"/>
        <v>-2.1177999999999919E-2</v>
      </c>
      <c r="V12" t="str">
        <f t="shared" si="5"/>
        <v/>
      </c>
    </row>
    <row r="13" spans="1:22" x14ac:dyDescent="0.25">
      <c r="A13" s="2">
        <v>45868.677083333343</v>
      </c>
      <c r="B13" t="s">
        <v>45</v>
      </c>
      <c r="C13" t="s">
        <v>46</v>
      </c>
      <c r="D13">
        <v>49</v>
      </c>
      <c r="E13">
        <v>91</v>
      </c>
      <c r="F13">
        <f t="shared" si="0"/>
        <v>140</v>
      </c>
      <c r="G13">
        <v>132.5</v>
      </c>
      <c r="H13">
        <v>1.833</v>
      </c>
      <c r="I13">
        <v>1.833</v>
      </c>
      <c r="J13">
        <v>60.865250000000003</v>
      </c>
      <c r="K13">
        <v>71.396500000000003</v>
      </c>
      <c r="L13">
        <v>132.26175000000001</v>
      </c>
      <c r="M13">
        <v>-10.53125</v>
      </c>
      <c r="N13">
        <v>60</v>
      </c>
      <c r="O13">
        <v>71</v>
      </c>
      <c r="P13">
        <v>132</v>
      </c>
      <c r="Q13">
        <v>0.48349999999999999</v>
      </c>
      <c r="R13">
        <f t="shared" si="1"/>
        <v>-0.11374450000000003</v>
      </c>
      <c r="S13" t="str">
        <f t="shared" si="2"/>
        <v/>
      </c>
      <c r="T13">
        <f t="shared" si="3"/>
        <v>0.51649999999999996</v>
      </c>
      <c r="U13">
        <f t="shared" si="4"/>
        <v>-5.3255500000000122E-2</v>
      </c>
      <c r="V13" t="str">
        <f t="shared" si="5"/>
        <v/>
      </c>
    </row>
    <row r="14" spans="1:22" x14ac:dyDescent="0.25">
      <c r="A14" s="2">
        <v>45868.71875</v>
      </c>
      <c r="B14" t="s">
        <v>32</v>
      </c>
      <c r="C14" t="s">
        <v>33</v>
      </c>
      <c r="D14">
        <v>59</v>
      </c>
      <c r="E14">
        <v>85</v>
      </c>
      <c r="F14">
        <f t="shared" si="0"/>
        <v>144</v>
      </c>
      <c r="G14">
        <v>143.5</v>
      </c>
      <c r="H14">
        <v>1.833</v>
      </c>
      <c r="I14">
        <v>1.833</v>
      </c>
      <c r="J14">
        <v>71.962000000000003</v>
      </c>
      <c r="K14">
        <v>73.242249999999999</v>
      </c>
      <c r="L14">
        <v>145.20425</v>
      </c>
      <c r="M14">
        <v>-1.2802500000000001</v>
      </c>
      <c r="N14">
        <v>71</v>
      </c>
      <c r="O14">
        <v>72</v>
      </c>
      <c r="P14">
        <v>144</v>
      </c>
      <c r="Q14">
        <v>0.51775000000000004</v>
      </c>
      <c r="R14">
        <f t="shared" si="1"/>
        <v>-5.0964249999999933E-2</v>
      </c>
      <c r="S14" t="str">
        <f t="shared" si="2"/>
        <v/>
      </c>
      <c r="T14">
        <f t="shared" si="3"/>
        <v>0.48224999999999996</v>
      </c>
      <c r="U14">
        <f t="shared" si="4"/>
        <v>-0.1160357500000001</v>
      </c>
      <c r="V14" t="str">
        <f t="shared" si="5"/>
        <v/>
      </c>
    </row>
    <row r="15" spans="1:22" x14ac:dyDescent="0.25">
      <c r="A15" s="2">
        <v>45868.770833333343</v>
      </c>
      <c r="B15" t="s">
        <v>47</v>
      </c>
      <c r="C15" t="s">
        <v>48</v>
      </c>
      <c r="D15">
        <v>77</v>
      </c>
      <c r="E15">
        <v>76</v>
      </c>
      <c r="F15">
        <f t="shared" si="0"/>
        <v>153</v>
      </c>
      <c r="G15">
        <v>129.5</v>
      </c>
      <c r="H15">
        <v>1.833</v>
      </c>
      <c r="I15">
        <v>1.833</v>
      </c>
      <c r="J15">
        <v>70.634749999999997</v>
      </c>
      <c r="K15">
        <v>62.522500000000001</v>
      </c>
      <c r="L15">
        <v>133.15725</v>
      </c>
      <c r="M15">
        <v>8.1122499999999995</v>
      </c>
      <c r="N15">
        <v>70</v>
      </c>
      <c r="O15">
        <v>62</v>
      </c>
      <c r="P15">
        <v>133</v>
      </c>
      <c r="Q15">
        <v>0.5595</v>
      </c>
      <c r="R15">
        <f t="shared" si="1"/>
        <v>2.5563500000000072E-2</v>
      </c>
      <c r="S15">
        <f t="shared" si="2"/>
        <v>0.83299999999999996</v>
      </c>
      <c r="T15">
        <f t="shared" si="3"/>
        <v>0.4405</v>
      </c>
      <c r="U15">
        <f t="shared" si="4"/>
        <v>-0.1925635</v>
      </c>
      <c r="V15" t="str">
        <f t="shared" si="5"/>
        <v/>
      </c>
    </row>
    <row r="16" spans="1:22" x14ac:dyDescent="0.25">
      <c r="A16" s="2">
        <v>45869.375</v>
      </c>
      <c r="B16" t="s">
        <v>30</v>
      </c>
      <c r="C16" t="s">
        <v>35</v>
      </c>
      <c r="D16">
        <v>82</v>
      </c>
      <c r="E16">
        <v>97</v>
      </c>
      <c r="F16">
        <f t="shared" si="0"/>
        <v>179</v>
      </c>
      <c r="G16">
        <v>153.5</v>
      </c>
      <c r="H16">
        <v>1.833</v>
      </c>
      <c r="I16">
        <v>1.833</v>
      </c>
      <c r="J16">
        <v>64.436750000000004</v>
      </c>
      <c r="K16">
        <v>90.232500000000002</v>
      </c>
      <c r="L16">
        <v>154.66925000000001</v>
      </c>
      <c r="M16">
        <v>-25.795750000000002</v>
      </c>
      <c r="N16">
        <v>64</v>
      </c>
      <c r="O16">
        <v>90</v>
      </c>
      <c r="P16">
        <v>154</v>
      </c>
      <c r="Q16">
        <v>0.51149999999999995</v>
      </c>
      <c r="R16">
        <f t="shared" si="1"/>
        <v>-6.2420500000000101E-2</v>
      </c>
      <c r="S16" t="str">
        <f t="shared" si="2"/>
        <v/>
      </c>
      <c r="T16">
        <f t="shared" si="3"/>
        <v>0.48850000000000005</v>
      </c>
      <c r="U16">
        <f t="shared" si="4"/>
        <v>-0.10457949999999994</v>
      </c>
      <c r="V16" t="str">
        <f t="shared" si="5"/>
        <v/>
      </c>
    </row>
    <row r="17" spans="1:22" x14ac:dyDescent="0.25">
      <c r="A17" s="2">
        <v>45869.395833333343</v>
      </c>
      <c r="B17" t="s">
        <v>39</v>
      </c>
      <c r="C17" t="s">
        <v>36</v>
      </c>
      <c r="D17">
        <v>78</v>
      </c>
      <c r="E17">
        <v>46</v>
      </c>
      <c r="F17">
        <f t="shared" si="0"/>
        <v>124</v>
      </c>
      <c r="G17">
        <v>148.5</v>
      </c>
      <c r="H17">
        <v>1.833</v>
      </c>
      <c r="I17">
        <v>1.833</v>
      </c>
      <c r="J17">
        <v>74.717250000000007</v>
      </c>
      <c r="K17">
        <v>67.89</v>
      </c>
      <c r="L17">
        <v>142.60724999999999</v>
      </c>
      <c r="M17">
        <v>6.8272500000000003</v>
      </c>
      <c r="N17">
        <v>74</v>
      </c>
      <c r="O17">
        <v>67</v>
      </c>
      <c r="P17">
        <v>142</v>
      </c>
      <c r="Q17">
        <v>0.37</v>
      </c>
      <c r="R17">
        <f t="shared" si="1"/>
        <v>-0.32179000000000002</v>
      </c>
      <c r="S17" t="str">
        <f t="shared" si="2"/>
        <v/>
      </c>
      <c r="T17">
        <f t="shared" si="3"/>
        <v>0.63</v>
      </c>
      <c r="U17">
        <f t="shared" si="4"/>
        <v>0.15478999999999998</v>
      </c>
      <c r="V17">
        <f t="shared" si="5"/>
        <v>0.83299999999999996</v>
      </c>
    </row>
    <row r="18" spans="1:22" x14ac:dyDescent="0.25">
      <c r="A18" s="2">
        <v>45869.46875</v>
      </c>
      <c r="B18" t="s">
        <v>27</v>
      </c>
      <c r="C18" t="s">
        <v>29</v>
      </c>
      <c r="D18">
        <v>62</v>
      </c>
      <c r="E18">
        <v>77</v>
      </c>
      <c r="F18">
        <f t="shared" si="0"/>
        <v>139</v>
      </c>
      <c r="G18">
        <v>147.5</v>
      </c>
      <c r="H18">
        <v>1.833</v>
      </c>
      <c r="I18">
        <v>1.833</v>
      </c>
      <c r="J18">
        <v>62.775500000000001</v>
      </c>
      <c r="K18">
        <v>79.248750000000001</v>
      </c>
      <c r="L18">
        <v>142.02424999999999</v>
      </c>
      <c r="M18">
        <v>-16.47325</v>
      </c>
      <c r="N18">
        <v>62</v>
      </c>
      <c r="O18">
        <v>79</v>
      </c>
      <c r="P18">
        <v>142</v>
      </c>
      <c r="Q18">
        <v>0.38574999999999998</v>
      </c>
      <c r="R18">
        <f t="shared" si="1"/>
        <v>-0.29292024999999999</v>
      </c>
      <c r="S18" t="str">
        <f t="shared" si="2"/>
        <v/>
      </c>
      <c r="T18">
        <f t="shared" si="3"/>
        <v>0.61424999999999996</v>
      </c>
      <c r="U18">
        <f t="shared" si="4"/>
        <v>0.12592024999999984</v>
      </c>
      <c r="V18">
        <f t="shared" si="5"/>
        <v>0.83299999999999996</v>
      </c>
    </row>
    <row r="19" spans="1:22" x14ac:dyDescent="0.25">
      <c r="A19" s="2">
        <v>45869.583333333343</v>
      </c>
      <c r="B19" t="s">
        <v>46</v>
      </c>
      <c r="C19" t="s">
        <v>42</v>
      </c>
      <c r="D19">
        <v>70</v>
      </c>
      <c r="E19">
        <v>49</v>
      </c>
      <c r="F19">
        <f t="shared" si="0"/>
        <v>119</v>
      </c>
      <c r="G19">
        <v>135.5</v>
      </c>
      <c r="H19">
        <v>1.833</v>
      </c>
      <c r="I19">
        <v>1.833</v>
      </c>
      <c r="J19">
        <v>68.350750000000005</v>
      </c>
      <c r="K19">
        <v>64.114999999999995</v>
      </c>
      <c r="L19">
        <v>132.46575000000001</v>
      </c>
      <c r="M19">
        <v>4.2357500000000003</v>
      </c>
      <c r="N19">
        <v>68</v>
      </c>
      <c r="O19">
        <v>63</v>
      </c>
      <c r="P19">
        <v>132</v>
      </c>
      <c r="Q19">
        <v>0.42725000000000002</v>
      </c>
      <c r="R19">
        <f t="shared" si="1"/>
        <v>-0.21685074999999998</v>
      </c>
      <c r="S19" t="str">
        <f t="shared" si="2"/>
        <v/>
      </c>
      <c r="T19">
        <f t="shared" si="3"/>
        <v>0.57274999999999998</v>
      </c>
      <c r="U19">
        <f t="shared" si="4"/>
        <v>4.9850750000000055E-2</v>
      </c>
      <c r="V19">
        <f t="shared" si="5"/>
        <v>0.83299999999999996</v>
      </c>
    </row>
    <row r="20" spans="1:22" x14ac:dyDescent="0.25">
      <c r="A20" s="2">
        <v>45869.625</v>
      </c>
      <c r="B20" t="s">
        <v>31</v>
      </c>
      <c r="C20" t="s">
        <v>34</v>
      </c>
      <c r="D20">
        <v>88</v>
      </c>
      <c r="E20">
        <v>58</v>
      </c>
      <c r="F20">
        <f t="shared" si="0"/>
        <v>146</v>
      </c>
      <c r="G20">
        <v>130.5</v>
      </c>
      <c r="H20">
        <v>1.833</v>
      </c>
      <c r="I20">
        <v>1.833</v>
      </c>
      <c r="J20">
        <v>70.219750000000005</v>
      </c>
      <c r="K20">
        <v>54.112499999999997</v>
      </c>
      <c r="L20">
        <v>124.33225</v>
      </c>
      <c r="M20">
        <v>16.107250000000001</v>
      </c>
      <c r="N20">
        <v>70</v>
      </c>
      <c r="O20">
        <v>54</v>
      </c>
      <c r="P20">
        <v>124</v>
      </c>
      <c r="Q20">
        <v>0.36225000000000002</v>
      </c>
      <c r="R20">
        <f t="shared" si="1"/>
        <v>-0.33599575000000004</v>
      </c>
      <c r="S20" t="str">
        <f t="shared" si="2"/>
        <v/>
      </c>
      <c r="T20">
        <f t="shared" si="3"/>
        <v>0.63775000000000004</v>
      </c>
      <c r="U20">
        <f t="shared" si="4"/>
        <v>0.16899575000000011</v>
      </c>
      <c r="V20">
        <f t="shared" si="5"/>
        <v>-1</v>
      </c>
    </row>
    <row r="21" spans="1:22" x14ac:dyDescent="0.25">
      <c r="A21" s="2">
        <v>45869.677083333343</v>
      </c>
      <c r="B21" t="s">
        <v>48</v>
      </c>
      <c r="C21" t="s">
        <v>45</v>
      </c>
      <c r="D21">
        <v>54</v>
      </c>
      <c r="E21">
        <v>97</v>
      </c>
      <c r="F21">
        <f t="shared" si="0"/>
        <v>151</v>
      </c>
      <c r="G21">
        <v>130.5</v>
      </c>
      <c r="H21">
        <v>1.833</v>
      </c>
      <c r="I21">
        <v>1.833</v>
      </c>
      <c r="J21">
        <v>59.510249999999999</v>
      </c>
      <c r="K21">
        <v>72.179000000000002</v>
      </c>
      <c r="L21">
        <v>131.68924999999999</v>
      </c>
      <c r="M21">
        <v>-12.668749999999999</v>
      </c>
      <c r="N21">
        <v>59</v>
      </c>
      <c r="O21">
        <v>72</v>
      </c>
      <c r="P21">
        <v>131</v>
      </c>
      <c r="Q21">
        <v>0.51224999999999998</v>
      </c>
      <c r="R21">
        <f t="shared" si="1"/>
        <v>-6.104575000000001E-2</v>
      </c>
      <c r="S21" t="str">
        <f t="shared" si="2"/>
        <v/>
      </c>
      <c r="T21">
        <f t="shared" si="3"/>
        <v>0.48775000000000002</v>
      </c>
      <c r="U21">
        <f t="shared" si="4"/>
        <v>-0.10595425000000003</v>
      </c>
      <c r="V21" t="str">
        <f t="shared" si="5"/>
        <v/>
      </c>
    </row>
    <row r="22" spans="1:22" x14ac:dyDescent="0.25">
      <c r="A22" s="2">
        <v>45869.71875</v>
      </c>
      <c r="B22" t="s">
        <v>32</v>
      </c>
      <c r="C22" t="s">
        <v>44</v>
      </c>
      <c r="D22">
        <v>78</v>
      </c>
      <c r="E22">
        <v>59</v>
      </c>
      <c r="F22">
        <f t="shared" si="0"/>
        <v>137</v>
      </c>
      <c r="G22">
        <v>147.5</v>
      </c>
      <c r="H22">
        <v>1.833</v>
      </c>
      <c r="I22">
        <v>1.833</v>
      </c>
      <c r="J22">
        <v>72.020750000000007</v>
      </c>
      <c r="K22">
        <v>70.175749999999994</v>
      </c>
      <c r="L22">
        <v>142.19649999999999</v>
      </c>
      <c r="M22">
        <v>1.845</v>
      </c>
      <c r="N22">
        <v>72</v>
      </c>
      <c r="O22">
        <v>70</v>
      </c>
      <c r="P22">
        <v>142</v>
      </c>
      <c r="Q22">
        <v>0.38750000000000001</v>
      </c>
      <c r="R22">
        <f t="shared" si="1"/>
        <v>-0.28971250000000004</v>
      </c>
      <c r="S22" t="str">
        <f t="shared" si="2"/>
        <v/>
      </c>
      <c r="T22">
        <f t="shared" si="3"/>
        <v>0.61250000000000004</v>
      </c>
      <c r="U22">
        <f t="shared" si="4"/>
        <v>0.1227125</v>
      </c>
      <c r="V22">
        <f t="shared" si="5"/>
        <v>0.83299999999999996</v>
      </c>
    </row>
    <row r="23" spans="1:22" x14ac:dyDescent="0.25">
      <c r="A23" s="2">
        <v>45869.802083333343</v>
      </c>
      <c r="B23" t="s">
        <v>43</v>
      </c>
      <c r="C23" t="s">
        <v>47</v>
      </c>
      <c r="D23">
        <v>83</v>
      </c>
      <c r="E23">
        <v>71</v>
      </c>
      <c r="F23">
        <f t="shared" si="0"/>
        <v>154</v>
      </c>
      <c r="G23">
        <v>138.5</v>
      </c>
      <c r="H23">
        <v>1.833</v>
      </c>
      <c r="I23">
        <v>1.833</v>
      </c>
      <c r="J23">
        <v>71.632000000000005</v>
      </c>
      <c r="K23">
        <v>67.758750000000006</v>
      </c>
      <c r="L23">
        <v>139.39075</v>
      </c>
      <c r="M23">
        <v>3.8732500000000001</v>
      </c>
      <c r="N23">
        <v>71</v>
      </c>
      <c r="O23">
        <v>67</v>
      </c>
      <c r="P23">
        <v>139</v>
      </c>
      <c r="Q23">
        <v>0.50724999999999998</v>
      </c>
      <c r="R23">
        <f t="shared" si="1"/>
        <v>-7.0210750000000099E-2</v>
      </c>
      <c r="S23" t="str">
        <f t="shared" si="2"/>
        <v/>
      </c>
      <c r="T23">
        <f t="shared" si="3"/>
        <v>0.49275000000000002</v>
      </c>
      <c r="U23">
        <f t="shared" si="4"/>
        <v>-9.6789249999999938E-2</v>
      </c>
      <c r="V23" t="str">
        <f t="shared" si="5"/>
        <v/>
      </c>
    </row>
    <row r="24" spans="1:22" x14ac:dyDescent="0.25">
      <c r="A24" s="2">
        <v>45870.375</v>
      </c>
      <c r="B24" t="s">
        <v>35</v>
      </c>
      <c r="C24" t="s">
        <v>28</v>
      </c>
      <c r="D24">
        <v>92</v>
      </c>
      <c r="E24">
        <v>74</v>
      </c>
      <c r="F24">
        <f t="shared" si="0"/>
        <v>166</v>
      </c>
      <c r="G24">
        <v>164.5</v>
      </c>
      <c r="H24">
        <v>1.833</v>
      </c>
      <c r="I24">
        <v>1.833</v>
      </c>
      <c r="J24">
        <v>85.182249999999996</v>
      </c>
      <c r="K24">
        <v>76.481750000000005</v>
      </c>
      <c r="L24">
        <v>161.66399999999999</v>
      </c>
      <c r="M24">
        <v>8.7004999999999999</v>
      </c>
      <c r="N24">
        <v>84</v>
      </c>
      <c r="O24">
        <v>76</v>
      </c>
      <c r="P24">
        <v>161</v>
      </c>
      <c r="Q24">
        <v>0.44</v>
      </c>
      <c r="R24">
        <f t="shared" si="1"/>
        <v>-0.19347999999999999</v>
      </c>
      <c r="S24" t="str">
        <f t="shared" si="2"/>
        <v/>
      </c>
      <c r="T24">
        <f t="shared" si="3"/>
        <v>0.56000000000000005</v>
      </c>
      <c r="U24">
        <f t="shared" si="4"/>
        <v>2.6480000000000059E-2</v>
      </c>
      <c r="V24">
        <f t="shared" si="5"/>
        <v>-1</v>
      </c>
    </row>
    <row r="25" spans="1:22" x14ac:dyDescent="0.25">
      <c r="A25" s="2">
        <v>45870.395833333343</v>
      </c>
      <c r="B25" t="s">
        <v>41</v>
      </c>
      <c r="C25" t="s">
        <v>39</v>
      </c>
      <c r="D25">
        <v>49</v>
      </c>
      <c r="E25">
        <v>103</v>
      </c>
      <c r="F25">
        <f t="shared" si="0"/>
        <v>152</v>
      </c>
      <c r="G25">
        <v>148.5</v>
      </c>
      <c r="H25">
        <v>1.833</v>
      </c>
      <c r="I25">
        <v>1.833</v>
      </c>
      <c r="J25">
        <v>65</v>
      </c>
      <c r="K25">
        <v>78.239750000000001</v>
      </c>
      <c r="L25">
        <v>143.23974999999999</v>
      </c>
      <c r="M25">
        <v>-13.239750000000001</v>
      </c>
      <c r="N25">
        <v>64</v>
      </c>
      <c r="O25">
        <v>78</v>
      </c>
      <c r="P25">
        <v>142</v>
      </c>
      <c r="Q25">
        <v>0.38900000000000001</v>
      </c>
      <c r="R25">
        <f t="shared" si="1"/>
        <v>-0.28696299999999997</v>
      </c>
      <c r="S25" t="str">
        <f t="shared" si="2"/>
        <v/>
      </c>
      <c r="T25">
        <f t="shared" si="3"/>
        <v>0.61099999999999999</v>
      </c>
      <c r="U25">
        <f t="shared" si="4"/>
        <v>0.11996300000000004</v>
      </c>
      <c r="V25">
        <f t="shared" si="5"/>
        <v>-1</v>
      </c>
    </row>
    <row r="26" spans="1:22" x14ac:dyDescent="0.25">
      <c r="A26" s="2">
        <v>45870.46875</v>
      </c>
      <c r="B26" t="s">
        <v>30</v>
      </c>
      <c r="C26" t="s">
        <v>27</v>
      </c>
      <c r="D26">
        <v>84</v>
      </c>
      <c r="E26">
        <v>73</v>
      </c>
      <c r="F26">
        <f t="shared" si="0"/>
        <v>157</v>
      </c>
      <c r="G26">
        <v>147.5</v>
      </c>
      <c r="H26">
        <v>1.833</v>
      </c>
      <c r="I26">
        <v>1.833</v>
      </c>
      <c r="J26">
        <v>69.6845</v>
      </c>
      <c r="K26">
        <v>73.590500000000006</v>
      </c>
      <c r="L26">
        <v>143.27500000000001</v>
      </c>
      <c r="M26">
        <v>-3.9060000000000001</v>
      </c>
      <c r="N26">
        <v>69</v>
      </c>
      <c r="O26">
        <v>73</v>
      </c>
      <c r="P26">
        <v>143</v>
      </c>
      <c r="Q26">
        <v>0.40849999999999997</v>
      </c>
      <c r="R26">
        <f t="shared" si="1"/>
        <v>-0.25121950000000004</v>
      </c>
      <c r="S26" t="str">
        <f t="shared" si="2"/>
        <v/>
      </c>
      <c r="T26">
        <f t="shared" si="3"/>
        <v>0.59150000000000003</v>
      </c>
      <c r="U26">
        <f t="shared" si="4"/>
        <v>8.4219500000000114E-2</v>
      </c>
      <c r="V26">
        <f t="shared" si="5"/>
        <v>-1</v>
      </c>
    </row>
    <row r="27" spans="1:22" x14ac:dyDescent="0.25">
      <c r="A27" s="2">
        <v>45870.489583333343</v>
      </c>
      <c r="B27" t="s">
        <v>38</v>
      </c>
      <c r="C27" t="s">
        <v>37</v>
      </c>
      <c r="D27">
        <v>52</v>
      </c>
      <c r="E27">
        <v>54</v>
      </c>
      <c r="F27">
        <f t="shared" si="0"/>
        <v>106</v>
      </c>
      <c r="G27">
        <v>145.5</v>
      </c>
      <c r="H27">
        <v>1.833</v>
      </c>
      <c r="I27">
        <v>1.833</v>
      </c>
      <c r="J27">
        <v>67.846999999999994</v>
      </c>
      <c r="K27">
        <v>69.78725</v>
      </c>
      <c r="L27">
        <v>137.63425000000001</v>
      </c>
      <c r="M27">
        <v>-1.94025</v>
      </c>
      <c r="N27">
        <v>67</v>
      </c>
      <c r="O27">
        <v>69</v>
      </c>
      <c r="P27">
        <v>137</v>
      </c>
      <c r="Q27">
        <v>0.33274999999999999</v>
      </c>
      <c r="R27">
        <f t="shared" si="1"/>
        <v>-0.39006925000000003</v>
      </c>
      <c r="S27" t="str">
        <f t="shared" si="2"/>
        <v/>
      </c>
      <c r="T27">
        <f t="shared" si="3"/>
        <v>0.66725000000000001</v>
      </c>
      <c r="U27">
        <f t="shared" si="4"/>
        <v>0.22306925</v>
      </c>
      <c r="V27">
        <f t="shared" si="5"/>
        <v>0.83299999999999996</v>
      </c>
    </row>
    <row r="28" spans="1:22" x14ac:dyDescent="0.25">
      <c r="A28" s="2">
        <v>45870.541666666657</v>
      </c>
      <c r="B28" t="s">
        <v>34</v>
      </c>
      <c r="C28" t="s">
        <v>32</v>
      </c>
      <c r="D28">
        <v>46</v>
      </c>
      <c r="E28">
        <v>99</v>
      </c>
      <c r="F28">
        <f t="shared" si="0"/>
        <v>145</v>
      </c>
      <c r="G28">
        <v>141.5</v>
      </c>
      <c r="H28">
        <v>1.833</v>
      </c>
      <c r="I28">
        <v>1.833</v>
      </c>
      <c r="J28">
        <v>53.678750000000001</v>
      </c>
      <c r="K28">
        <v>72.093000000000004</v>
      </c>
      <c r="L28">
        <v>125.77175</v>
      </c>
      <c r="M28">
        <v>-18.414249999999999</v>
      </c>
      <c r="N28">
        <v>53</v>
      </c>
      <c r="O28">
        <v>71</v>
      </c>
      <c r="P28">
        <v>125</v>
      </c>
      <c r="Q28">
        <v>0.20250000000000001</v>
      </c>
      <c r="R28">
        <f t="shared" si="1"/>
        <v>-0.62881750000000003</v>
      </c>
      <c r="S28" t="str">
        <f t="shared" si="2"/>
        <v/>
      </c>
      <c r="T28">
        <f t="shared" si="3"/>
        <v>0.79749999999999999</v>
      </c>
      <c r="U28">
        <f t="shared" si="4"/>
        <v>0.46181749999999999</v>
      </c>
      <c r="V28">
        <f t="shared" si="5"/>
        <v>-1</v>
      </c>
    </row>
    <row r="29" spans="1:22" x14ac:dyDescent="0.25">
      <c r="A29" s="2">
        <v>45870.583333333343</v>
      </c>
      <c r="B29" t="s">
        <v>36</v>
      </c>
      <c r="C29" t="s">
        <v>40</v>
      </c>
      <c r="D29">
        <v>78</v>
      </c>
      <c r="E29">
        <v>86</v>
      </c>
      <c r="F29">
        <f t="shared" si="0"/>
        <v>164</v>
      </c>
      <c r="G29">
        <v>146.5</v>
      </c>
      <c r="H29">
        <v>1.833</v>
      </c>
      <c r="I29">
        <v>1.833</v>
      </c>
      <c r="J29">
        <v>71.065749999999994</v>
      </c>
      <c r="K29">
        <v>73.052750000000003</v>
      </c>
      <c r="L29">
        <v>144.11850000000001</v>
      </c>
      <c r="M29">
        <v>-1.9870000000000001</v>
      </c>
      <c r="N29">
        <v>70</v>
      </c>
      <c r="O29">
        <v>73</v>
      </c>
      <c r="P29">
        <v>144</v>
      </c>
      <c r="Q29">
        <v>0.443</v>
      </c>
      <c r="R29">
        <f t="shared" si="1"/>
        <v>-0.18798099999999995</v>
      </c>
      <c r="S29" t="str">
        <f t="shared" si="2"/>
        <v/>
      </c>
      <c r="T29">
        <f t="shared" si="3"/>
        <v>0.55699999999999994</v>
      </c>
      <c r="U29">
        <f t="shared" si="4"/>
        <v>2.0980999999999916E-2</v>
      </c>
      <c r="V29">
        <f t="shared" si="5"/>
        <v>-1</v>
      </c>
    </row>
    <row r="30" spans="1:22" x14ac:dyDescent="0.25">
      <c r="A30" s="2">
        <v>45870.583333333343</v>
      </c>
      <c r="B30" t="s">
        <v>46</v>
      </c>
      <c r="C30" t="s">
        <v>48</v>
      </c>
      <c r="D30">
        <v>113</v>
      </c>
      <c r="E30">
        <v>34</v>
      </c>
      <c r="F30">
        <f t="shared" si="0"/>
        <v>147</v>
      </c>
      <c r="G30">
        <v>137.5</v>
      </c>
      <c r="H30">
        <v>1.7689999999999999</v>
      </c>
      <c r="I30">
        <v>1.909</v>
      </c>
      <c r="J30">
        <v>76.177499999999995</v>
      </c>
      <c r="K30">
        <v>53.872999999999998</v>
      </c>
      <c r="L30">
        <v>130.0505</v>
      </c>
      <c r="M30">
        <v>22.304500000000001</v>
      </c>
      <c r="N30">
        <v>76</v>
      </c>
      <c r="O30">
        <v>53</v>
      </c>
      <c r="P30">
        <v>130</v>
      </c>
      <c r="Q30">
        <v>0.33600000000000002</v>
      </c>
      <c r="R30">
        <f t="shared" si="1"/>
        <v>-0.40561599999999998</v>
      </c>
      <c r="S30" t="str">
        <f t="shared" si="2"/>
        <v/>
      </c>
      <c r="T30">
        <f t="shared" si="3"/>
        <v>0.66399999999999992</v>
      </c>
      <c r="U30">
        <f t="shared" si="4"/>
        <v>0.26757599999999981</v>
      </c>
      <c r="V30">
        <f t="shared" si="5"/>
        <v>-1</v>
      </c>
    </row>
    <row r="31" spans="1:22" x14ac:dyDescent="0.25">
      <c r="A31" s="2">
        <v>45870.635416666657</v>
      </c>
      <c r="B31" t="s">
        <v>44</v>
      </c>
      <c r="C31" t="s">
        <v>33</v>
      </c>
      <c r="D31">
        <v>65</v>
      </c>
      <c r="E31">
        <v>77</v>
      </c>
      <c r="F31">
        <f t="shared" si="0"/>
        <v>142</v>
      </c>
      <c r="G31">
        <v>141.5</v>
      </c>
      <c r="H31">
        <v>1.833</v>
      </c>
      <c r="I31">
        <v>1.833</v>
      </c>
      <c r="J31">
        <v>70.084000000000003</v>
      </c>
      <c r="K31">
        <v>73.821250000000006</v>
      </c>
      <c r="L31">
        <v>143.90525</v>
      </c>
      <c r="M31">
        <v>-3.73725</v>
      </c>
      <c r="N31">
        <v>69</v>
      </c>
      <c r="O31">
        <v>73</v>
      </c>
      <c r="P31">
        <v>143</v>
      </c>
      <c r="Q31">
        <v>0.52825</v>
      </c>
      <c r="R31">
        <f t="shared" si="1"/>
        <v>-3.1717749999999989E-2</v>
      </c>
      <c r="S31" t="str">
        <f t="shared" si="2"/>
        <v/>
      </c>
      <c r="T31">
        <f t="shared" si="3"/>
        <v>0.47175</v>
      </c>
      <c r="U31">
        <f t="shared" si="4"/>
        <v>-0.13528225000000005</v>
      </c>
      <c r="V31" t="str">
        <f t="shared" si="5"/>
        <v/>
      </c>
    </row>
    <row r="32" spans="1:22" x14ac:dyDescent="0.25">
      <c r="A32" s="2">
        <v>45870.677083333343</v>
      </c>
      <c r="B32" t="s">
        <v>45</v>
      </c>
      <c r="C32" t="s">
        <v>43</v>
      </c>
      <c r="D32">
        <v>75</v>
      </c>
      <c r="E32">
        <v>71</v>
      </c>
      <c r="F32">
        <f t="shared" si="0"/>
        <v>146</v>
      </c>
      <c r="G32">
        <v>144.5</v>
      </c>
      <c r="H32">
        <v>1.833</v>
      </c>
      <c r="I32">
        <v>1.833</v>
      </c>
      <c r="J32">
        <v>70.246750000000006</v>
      </c>
      <c r="K32">
        <v>69.114999999999995</v>
      </c>
      <c r="L32">
        <v>139.36175</v>
      </c>
      <c r="M32">
        <v>1.13175</v>
      </c>
      <c r="N32">
        <v>70</v>
      </c>
      <c r="O32">
        <v>69</v>
      </c>
      <c r="P32">
        <v>138</v>
      </c>
      <c r="Q32">
        <v>0.38250000000000001</v>
      </c>
      <c r="R32">
        <f t="shared" si="1"/>
        <v>-0.29887750000000002</v>
      </c>
      <c r="S32" t="str">
        <f t="shared" si="2"/>
        <v/>
      </c>
      <c r="T32">
        <f t="shared" si="3"/>
        <v>0.61749999999999994</v>
      </c>
      <c r="U32">
        <f t="shared" si="4"/>
        <v>0.13187749999999987</v>
      </c>
      <c r="V32">
        <f t="shared" si="5"/>
        <v>-1</v>
      </c>
    </row>
    <row r="33" spans="1:22" x14ac:dyDescent="0.25">
      <c r="A33" s="2">
        <v>45870.770833333343</v>
      </c>
      <c r="B33" t="s">
        <v>47</v>
      </c>
      <c r="C33" t="s">
        <v>42</v>
      </c>
      <c r="D33">
        <v>83</v>
      </c>
      <c r="E33">
        <v>77</v>
      </c>
      <c r="F33">
        <f t="shared" si="0"/>
        <v>160</v>
      </c>
      <c r="G33">
        <v>138.5</v>
      </c>
      <c r="H33">
        <v>1.833</v>
      </c>
      <c r="I33">
        <v>1.833</v>
      </c>
      <c r="J33">
        <v>63.573</v>
      </c>
      <c r="K33">
        <v>74.368750000000006</v>
      </c>
      <c r="L33">
        <v>137.94175000000001</v>
      </c>
      <c r="M33">
        <v>-10.79575</v>
      </c>
      <c r="N33">
        <v>63</v>
      </c>
      <c r="O33">
        <v>74</v>
      </c>
      <c r="P33">
        <v>137</v>
      </c>
      <c r="Q33">
        <v>0.48175000000000001</v>
      </c>
      <c r="R33">
        <f t="shared" si="1"/>
        <v>-0.11695224999999998</v>
      </c>
      <c r="S33" t="str">
        <f t="shared" si="2"/>
        <v/>
      </c>
      <c r="T33">
        <f t="shared" si="3"/>
        <v>0.51824999999999999</v>
      </c>
      <c r="U33">
        <f t="shared" si="4"/>
        <v>-5.0047750000000057E-2</v>
      </c>
      <c r="V33" t="str">
        <f t="shared" si="5"/>
        <v/>
      </c>
    </row>
    <row r="34" spans="1:22" x14ac:dyDescent="0.25">
      <c r="A34" s="2">
        <v>45871.375</v>
      </c>
      <c r="B34" t="s">
        <v>34</v>
      </c>
      <c r="C34" t="s">
        <v>44</v>
      </c>
      <c r="D34">
        <v>40</v>
      </c>
      <c r="E34">
        <v>77</v>
      </c>
      <c r="F34">
        <f t="shared" si="0"/>
        <v>117</v>
      </c>
      <c r="G34">
        <v>137.5</v>
      </c>
      <c r="H34">
        <v>1.869</v>
      </c>
      <c r="I34">
        <v>1.8</v>
      </c>
      <c r="J34">
        <v>53.547750000000001</v>
      </c>
      <c r="K34">
        <v>69.932000000000002</v>
      </c>
      <c r="L34">
        <v>123.47975</v>
      </c>
      <c r="M34">
        <v>-16.384250000000002</v>
      </c>
      <c r="N34">
        <v>53</v>
      </c>
      <c r="O34">
        <v>70</v>
      </c>
      <c r="P34">
        <v>123</v>
      </c>
      <c r="Q34">
        <v>0.2165</v>
      </c>
      <c r="R34">
        <f t="shared" si="1"/>
        <v>-0.59536149999999999</v>
      </c>
      <c r="S34" t="str">
        <f t="shared" si="2"/>
        <v/>
      </c>
      <c r="T34">
        <f t="shared" si="3"/>
        <v>0.78349999999999997</v>
      </c>
      <c r="U34">
        <f t="shared" si="4"/>
        <v>0.41029999999999989</v>
      </c>
      <c r="V34">
        <f t="shared" si="5"/>
        <v>0.8</v>
      </c>
    </row>
    <row r="35" spans="1:22" x14ac:dyDescent="0.25">
      <c r="A35" s="2">
        <v>45871.375</v>
      </c>
      <c r="B35" t="s">
        <v>28</v>
      </c>
      <c r="C35" t="s">
        <v>30</v>
      </c>
      <c r="D35">
        <v>99</v>
      </c>
      <c r="E35">
        <v>94</v>
      </c>
      <c r="F35">
        <f t="shared" si="0"/>
        <v>193</v>
      </c>
      <c r="G35">
        <v>160.5</v>
      </c>
      <c r="H35">
        <v>1.833</v>
      </c>
      <c r="I35">
        <v>1.833</v>
      </c>
      <c r="J35">
        <v>86.044499999999999</v>
      </c>
      <c r="K35">
        <v>68.364249999999998</v>
      </c>
      <c r="L35">
        <v>154.40875</v>
      </c>
      <c r="M35">
        <v>17.680250000000001</v>
      </c>
      <c r="N35">
        <v>85</v>
      </c>
      <c r="O35">
        <v>68</v>
      </c>
      <c r="P35">
        <v>154</v>
      </c>
      <c r="Q35">
        <v>0.3795</v>
      </c>
      <c r="R35">
        <f t="shared" si="1"/>
        <v>-0.30437650000000005</v>
      </c>
      <c r="S35" t="str">
        <f t="shared" si="2"/>
        <v/>
      </c>
      <c r="T35">
        <f t="shared" si="3"/>
        <v>0.62050000000000005</v>
      </c>
      <c r="U35">
        <f t="shared" si="4"/>
        <v>0.13737650000000001</v>
      </c>
      <c r="V35">
        <f t="shared" si="5"/>
        <v>-1</v>
      </c>
    </row>
    <row r="36" spans="1:22" x14ac:dyDescent="0.25">
      <c r="A36" s="2">
        <v>45871.46875</v>
      </c>
      <c r="B36" t="s">
        <v>29</v>
      </c>
      <c r="C36" t="s">
        <v>35</v>
      </c>
      <c r="D36">
        <v>74</v>
      </c>
      <c r="E36">
        <v>82</v>
      </c>
      <c r="F36">
        <f t="shared" si="0"/>
        <v>156</v>
      </c>
      <c r="G36">
        <v>159.5</v>
      </c>
      <c r="H36">
        <v>1.833</v>
      </c>
      <c r="I36">
        <v>1.833</v>
      </c>
      <c r="J36">
        <v>74.966250000000002</v>
      </c>
      <c r="K36">
        <v>78.979749999999996</v>
      </c>
      <c r="L36">
        <v>153.946</v>
      </c>
      <c r="M36">
        <v>-4.0134999999999996</v>
      </c>
      <c r="N36">
        <v>74</v>
      </c>
      <c r="O36">
        <v>78</v>
      </c>
      <c r="P36">
        <v>153</v>
      </c>
      <c r="Q36">
        <v>0.38524999999999998</v>
      </c>
      <c r="R36">
        <f t="shared" si="1"/>
        <v>-0.29383675000000009</v>
      </c>
      <c r="S36" t="str">
        <f t="shared" si="2"/>
        <v/>
      </c>
      <c r="T36">
        <f t="shared" si="3"/>
        <v>0.61475000000000002</v>
      </c>
      <c r="U36">
        <f t="shared" si="4"/>
        <v>0.12683675000000005</v>
      </c>
      <c r="V36">
        <f t="shared" si="5"/>
        <v>0.83299999999999996</v>
      </c>
    </row>
    <row r="37" spans="1:22" x14ac:dyDescent="0.25">
      <c r="A37" s="2">
        <v>45871.46875</v>
      </c>
      <c r="B37" t="s">
        <v>33</v>
      </c>
      <c r="C37" t="s">
        <v>31</v>
      </c>
      <c r="D37">
        <v>106</v>
      </c>
      <c r="E37">
        <v>61</v>
      </c>
      <c r="F37">
        <f t="shared" si="0"/>
        <v>167</v>
      </c>
      <c r="G37">
        <v>142.5</v>
      </c>
      <c r="H37">
        <v>1.833</v>
      </c>
      <c r="I37">
        <v>1.833</v>
      </c>
      <c r="J37">
        <v>72.471000000000004</v>
      </c>
      <c r="K37">
        <v>67.448499999999996</v>
      </c>
      <c r="L37">
        <v>139.9195</v>
      </c>
      <c r="M37">
        <v>5.0225</v>
      </c>
      <c r="N37">
        <v>72</v>
      </c>
      <c r="O37">
        <v>67</v>
      </c>
      <c r="P37">
        <v>139</v>
      </c>
      <c r="Q37">
        <v>0.43824999999999997</v>
      </c>
      <c r="R37">
        <f t="shared" si="1"/>
        <v>-0.19668775000000005</v>
      </c>
      <c r="S37" t="str">
        <f t="shared" si="2"/>
        <v/>
      </c>
      <c r="T37">
        <f t="shared" si="3"/>
        <v>0.56174999999999997</v>
      </c>
      <c r="U37">
        <f t="shared" si="4"/>
        <v>2.9687749999999902E-2</v>
      </c>
      <c r="V37">
        <f t="shared" si="5"/>
        <v>-1</v>
      </c>
    </row>
    <row r="38" spans="1:22" x14ac:dyDescent="0.25">
      <c r="A38" s="2">
        <v>45872.395833333343</v>
      </c>
      <c r="B38" t="s">
        <v>37</v>
      </c>
      <c r="C38" t="s">
        <v>39</v>
      </c>
      <c r="D38">
        <v>43</v>
      </c>
      <c r="E38">
        <v>83</v>
      </c>
      <c r="F38">
        <f t="shared" si="0"/>
        <v>126</v>
      </c>
      <c r="G38">
        <v>144.5</v>
      </c>
      <c r="H38">
        <v>1.833</v>
      </c>
      <c r="I38">
        <v>1.833</v>
      </c>
      <c r="J38">
        <v>63.577249999999999</v>
      </c>
      <c r="K38">
        <v>76.080500000000001</v>
      </c>
      <c r="L38">
        <v>139.65774999999999</v>
      </c>
      <c r="M38">
        <v>-12.50325</v>
      </c>
      <c r="N38">
        <v>63</v>
      </c>
      <c r="O38">
        <v>75</v>
      </c>
      <c r="P38">
        <v>139</v>
      </c>
      <c r="Q38">
        <v>0.38850000000000001</v>
      </c>
      <c r="R38">
        <f t="shared" si="1"/>
        <v>-0.28787949999999995</v>
      </c>
      <c r="S38" t="str">
        <f t="shared" si="2"/>
        <v/>
      </c>
      <c r="T38">
        <f t="shared" si="3"/>
        <v>0.61149999999999993</v>
      </c>
      <c r="U38">
        <f t="shared" si="4"/>
        <v>0.12087949999999981</v>
      </c>
      <c r="V38">
        <f t="shared" si="5"/>
        <v>0.83299999999999996</v>
      </c>
    </row>
    <row r="39" spans="1:22" x14ac:dyDescent="0.25">
      <c r="A39" s="2">
        <v>45872.489583333343</v>
      </c>
      <c r="B39" t="s">
        <v>36</v>
      </c>
      <c r="C39" t="s">
        <v>41</v>
      </c>
      <c r="D39">
        <v>83</v>
      </c>
      <c r="E39">
        <v>48</v>
      </c>
      <c r="F39">
        <f t="shared" si="0"/>
        <v>131</v>
      </c>
      <c r="G39">
        <v>138.5</v>
      </c>
      <c r="H39">
        <v>1.833</v>
      </c>
      <c r="I39">
        <v>1.833</v>
      </c>
      <c r="J39">
        <v>70.998249999999999</v>
      </c>
      <c r="K39">
        <v>65.358999999999995</v>
      </c>
      <c r="L39">
        <v>136.35724999999999</v>
      </c>
      <c r="M39">
        <v>5.6392499999999997</v>
      </c>
      <c r="N39">
        <v>70</v>
      </c>
      <c r="O39">
        <v>65</v>
      </c>
      <c r="P39">
        <v>136</v>
      </c>
      <c r="Q39">
        <v>0.44900000000000001</v>
      </c>
      <c r="R39">
        <f t="shared" si="1"/>
        <v>-0.176983</v>
      </c>
      <c r="S39" t="str">
        <f t="shared" si="2"/>
        <v/>
      </c>
      <c r="T39">
        <f t="shared" si="3"/>
        <v>0.55099999999999993</v>
      </c>
      <c r="U39">
        <f t="shared" si="4"/>
        <v>9.9829999999998531E-3</v>
      </c>
      <c r="V39">
        <f t="shared" si="5"/>
        <v>0.83299999999999996</v>
      </c>
    </row>
    <row r="40" spans="1:22" x14ac:dyDescent="0.25">
      <c r="A40" s="2">
        <v>45872.583333333343</v>
      </c>
      <c r="B40" t="s">
        <v>40</v>
      </c>
      <c r="C40" t="s">
        <v>38</v>
      </c>
      <c r="D40">
        <v>108</v>
      </c>
      <c r="E40">
        <v>56</v>
      </c>
      <c r="F40">
        <f t="shared" si="0"/>
        <v>164</v>
      </c>
      <c r="G40">
        <v>151.5</v>
      </c>
      <c r="H40">
        <v>1.833</v>
      </c>
      <c r="I40">
        <v>1.833</v>
      </c>
      <c r="J40">
        <v>82.412999999999997</v>
      </c>
      <c r="K40">
        <v>72.85575</v>
      </c>
      <c r="L40">
        <v>155.26875000000001</v>
      </c>
      <c r="M40">
        <v>9.5572499999999998</v>
      </c>
      <c r="N40">
        <v>82</v>
      </c>
      <c r="O40">
        <v>72</v>
      </c>
      <c r="P40">
        <v>155</v>
      </c>
      <c r="Q40">
        <v>0.55825000000000002</v>
      </c>
      <c r="R40">
        <f t="shared" si="1"/>
        <v>2.3272249999999994E-2</v>
      </c>
      <c r="S40">
        <f t="shared" si="2"/>
        <v>0.83299999999999996</v>
      </c>
      <c r="T40">
        <f t="shared" si="3"/>
        <v>0.44174999999999998</v>
      </c>
      <c r="U40">
        <f t="shared" si="4"/>
        <v>-0.19027225000000003</v>
      </c>
      <c r="V40" t="str">
        <f t="shared" si="5"/>
        <v/>
      </c>
    </row>
    <row r="41" spans="1:22" x14ac:dyDescent="0.25">
      <c r="A41" s="2">
        <v>45872.583333333343</v>
      </c>
      <c r="B41" t="s">
        <v>43</v>
      </c>
      <c r="C41" t="s">
        <v>46</v>
      </c>
      <c r="D41">
        <v>64</v>
      </c>
      <c r="E41">
        <v>100</v>
      </c>
      <c r="F41">
        <f t="shared" si="0"/>
        <v>164</v>
      </c>
      <c r="G41">
        <v>138.5</v>
      </c>
      <c r="H41">
        <v>1.833</v>
      </c>
      <c r="I41">
        <v>1.833</v>
      </c>
      <c r="J41">
        <v>62.088999999999999</v>
      </c>
      <c r="K41">
        <v>73.684250000000006</v>
      </c>
      <c r="L41">
        <v>135.77324999999999</v>
      </c>
      <c r="M41">
        <v>-11.59525</v>
      </c>
      <c r="N41">
        <v>61</v>
      </c>
      <c r="O41">
        <v>73</v>
      </c>
      <c r="P41">
        <v>135</v>
      </c>
      <c r="Q41">
        <v>0.43325000000000002</v>
      </c>
      <c r="R41">
        <f t="shared" si="1"/>
        <v>-0.20585274999999992</v>
      </c>
      <c r="S41" t="str">
        <f t="shared" si="2"/>
        <v/>
      </c>
      <c r="T41">
        <f t="shared" si="3"/>
        <v>0.56674999999999998</v>
      </c>
      <c r="U41">
        <f t="shared" si="4"/>
        <v>3.8852749999999991E-2</v>
      </c>
      <c r="V41">
        <f t="shared" si="5"/>
        <v>-1</v>
      </c>
    </row>
    <row r="42" spans="1:22" x14ac:dyDescent="0.25">
      <c r="A42" s="2">
        <v>45872.677083333343</v>
      </c>
      <c r="B42" t="s">
        <v>42</v>
      </c>
      <c r="C42" t="s">
        <v>48</v>
      </c>
      <c r="D42">
        <v>87</v>
      </c>
      <c r="E42">
        <v>47</v>
      </c>
      <c r="F42">
        <f t="shared" si="0"/>
        <v>134</v>
      </c>
      <c r="G42">
        <v>138.5</v>
      </c>
      <c r="H42">
        <v>1.833</v>
      </c>
      <c r="I42">
        <v>1.833</v>
      </c>
      <c r="J42">
        <v>75.891499999999994</v>
      </c>
      <c r="K42">
        <v>56.946750000000002</v>
      </c>
      <c r="L42">
        <v>132.83824999999999</v>
      </c>
      <c r="M42">
        <v>18.944749999999999</v>
      </c>
      <c r="N42">
        <v>75</v>
      </c>
      <c r="O42">
        <v>56.5</v>
      </c>
      <c r="P42">
        <v>132</v>
      </c>
      <c r="Q42">
        <v>0.38350000000000001</v>
      </c>
      <c r="R42">
        <f t="shared" si="1"/>
        <v>-0.29704450000000004</v>
      </c>
      <c r="S42" t="str">
        <f t="shared" si="2"/>
        <v/>
      </c>
      <c r="T42">
        <f t="shared" si="3"/>
        <v>0.61650000000000005</v>
      </c>
      <c r="U42">
        <f t="shared" si="4"/>
        <v>0.13004450000000012</v>
      </c>
      <c r="V42">
        <f t="shared" si="5"/>
        <v>0.83299999999999996</v>
      </c>
    </row>
    <row r="43" spans="1:22" x14ac:dyDescent="0.25">
      <c r="A43" s="2">
        <v>45872.770833333343</v>
      </c>
      <c r="B43" t="s">
        <v>47</v>
      </c>
      <c r="C43" t="s">
        <v>45</v>
      </c>
      <c r="D43">
        <v>59</v>
      </c>
      <c r="E43">
        <v>50</v>
      </c>
      <c r="F43">
        <f t="shared" si="0"/>
        <v>109</v>
      </c>
      <c r="G43">
        <v>145.5</v>
      </c>
      <c r="H43">
        <v>1.833</v>
      </c>
      <c r="I43">
        <v>1.833</v>
      </c>
      <c r="J43">
        <v>65.732749999999996</v>
      </c>
      <c r="K43">
        <v>70.747249999999994</v>
      </c>
      <c r="L43">
        <v>136.47999999999999</v>
      </c>
      <c r="M43">
        <v>-5.0145</v>
      </c>
      <c r="N43">
        <v>65</v>
      </c>
      <c r="O43">
        <v>70</v>
      </c>
      <c r="P43">
        <v>136</v>
      </c>
      <c r="Q43">
        <v>0.31850000000000001</v>
      </c>
      <c r="R43">
        <f t="shared" si="1"/>
        <v>-0.41618949999999999</v>
      </c>
      <c r="S43" t="str">
        <f t="shared" si="2"/>
        <v/>
      </c>
      <c r="T43">
        <f t="shared" si="3"/>
        <v>0.68149999999999999</v>
      </c>
      <c r="U43">
        <f t="shared" si="4"/>
        <v>0.24918949999999995</v>
      </c>
      <c r="V43">
        <f t="shared" si="5"/>
        <v>0.83299999999999996</v>
      </c>
    </row>
    <row r="44" spans="1:22" x14ac:dyDescent="0.25">
      <c r="A44" s="2">
        <v>45873.395833333343</v>
      </c>
      <c r="B44" t="s">
        <v>41</v>
      </c>
      <c r="C44" t="s">
        <v>37</v>
      </c>
      <c r="D44">
        <v>57</v>
      </c>
      <c r="E44">
        <v>105</v>
      </c>
      <c r="F44">
        <f t="shared" si="0"/>
        <v>162</v>
      </c>
      <c r="G44">
        <v>133.5</v>
      </c>
      <c r="H44">
        <v>1.869</v>
      </c>
      <c r="I44">
        <v>1.8</v>
      </c>
      <c r="J44">
        <v>65.796499999999995</v>
      </c>
      <c r="K44">
        <v>66.353250000000003</v>
      </c>
      <c r="L44">
        <v>132.14975000000001</v>
      </c>
      <c r="M44">
        <v>-0.55674999999999997</v>
      </c>
      <c r="N44">
        <v>65</v>
      </c>
      <c r="O44">
        <v>66</v>
      </c>
      <c r="P44">
        <v>132</v>
      </c>
      <c r="Q44">
        <v>0.46400000000000002</v>
      </c>
      <c r="R44">
        <f t="shared" si="1"/>
        <v>-0.13278400000000001</v>
      </c>
      <c r="S44" t="str">
        <f t="shared" si="2"/>
        <v/>
      </c>
      <c r="T44">
        <f t="shared" si="3"/>
        <v>0.53600000000000003</v>
      </c>
      <c r="U44">
        <f t="shared" si="4"/>
        <v>-3.5199999999999898E-2</v>
      </c>
      <c r="V44" t="str">
        <f t="shared" si="5"/>
        <v/>
      </c>
    </row>
    <row r="45" spans="1:22" x14ac:dyDescent="0.25">
      <c r="A45" s="2">
        <v>45873.489583333343</v>
      </c>
      <c r="B45" t="s">
        <v>38</v>
      </c>
      <c r="C45" t="s">
        <v>36</v>
      </c>
      <c r="D45">
        <v>50</v>
      </c>
      <c r="E45">
        <v>73</v>
      </c>
      <c r="F45">
        <f t="shared" si="0"/>
        <v>123</v>
      </c>
      <c r="G45">
        <v>140.5</v>
      </c>
      <c r="H45">
        <v>1.8</v>
      </c>
      <c r="I45">
        <v>1.869</v>
      </c>
      <c r="J45">
        <v>66.637</v>
      </c>
      <c r="K45">
        <v>74.426000000000002</v>
      </c>
      <c r="L45">
        <v>141.06299999999999</v>
      </c>
      <c r="M45">
        <v>-7.7889999999999997</v>
      </c>
      <c r="N45">
        <v>66</v>
      </c>
      <c r="O45">
        <v>73</v>
      </c>
      <c r="P45">
        <v>140</v>
      </c>
      <c r="Q45">
        <v>0.48899999999999999</v>
      </c>
      <c r="R45">
        <f t="shared" si="1"/>
        <v>-0.11980000000000002</v>
      </c>
      <c r="S45" t="str">
        <f t="shared" si="2"/>
        <v/>
      </c>
      <c r="T45">
        <f t="shared" si="3"/>
        <v>0.51100000000000001</v>
      </c>
      <c r="U45">
        <f t="shared" si="4"/>
        <v>-4.4941000000000009E-2</v>
      </c>
      <c r="V45" t="str">
        <f t="shared" si="5"/>
        <v/>
      </c>
    </row>
    <row r="46" spans="1:22" x14ac:dyDescent="0.25">
      <c r="A46" s="2">
        <v>45873.583333333343</v>
      </c>
      <c r="B46" t="s">
        <v>39</v>
      </c>
      <c r="C46" t="s">
        <v>40</v>
      </c>
      <c r="D46">
        <v>89</v>
      </c>
      <c r="E46">
        <v>87</v>
      </c>
      <c r="F46">
        <f t="shared" si="0"/>
        <v>176</v>
      </c>
      <c r="G46">
        <v>152.5</v>
      </c>
      <c r="H46">
        <v>1.833</v>
      </c>
      <c r="I46">
        <v>1.833</v>
      </c>
      <c r="J46">
        <v>79.287499999999994</v>
      </c>
      <c r="K46">
        <v>73.767499999999998</v>
      </c>
      <c r="L46">
        <v>153.05500000000001</v>
      </c>
      <c r="M46">
        <v>5.52</v>
      </c>
      <c r="N46">
        <v>79</v>
      </c>
      <c r="O46">
        <v>73</v>
      </c>
      <c r="P46">
        <v>152</v>
      </c>
      <c r="Q46">
        <v>0.4985</v>
      </c>
      <c r="R46">
        <f t="shared" si="1"/>
        <v>-8.6249499999999979E-2</v>
      </c>
      <c r="S46" t="str">
        <f t="shared" si="2"/>
        <v/>
      </c>
      <c r="T46">
        <f t="shared" si="3"/>
        <v>0.50150000000000006</v>
      </c>
      <c r="U46">
        <f t="shared" si="4"/>
        <v>-8.0750499999999947E-2</v>
      </c>
      <c r="V46" t="str">
        <f t="shared" si="5"/>
        <v/>
      </c>
    </row>
    <row r="47" spans="1:22" x14ac:dyDescent="0.25">
      <c r="A47" s="2">
        <v>45873.583333333343</v>
      </c>
      <c r="B47" t="s">
        <v>48</v>
      </c>
      <c r="C47" t="s">
        <v>43</v>
      </c>
      <c r="D47">
        <v>64</v>
      </c>
      <c r="E47">
        <v>73</v>
      </c>
      <c r="F47">
        <f t="shared" si="0"/>
        <v>137</v>
      </c>
      <c r="G47">
        <v>144.5</v>
      </c>
      <c r="H47">
        <v>1.833</v>
      </c>
      <c r="I47">
        <v>1.833</v>
      </c>
      <c r="J47">
        <v>61.191249999999997</v>
      </c>
      <c r="K47">
        <v>73.039500000000004</v>
      </c>
      <c r="L47">
        <v>134.23075</v>
      </c>
      <c r="M47">
        <v>-11.84825</v>
      </c>
      <c r="N47">
        <v>60</v>
      </c>
      <c r="O47">
        <v>73</v>
      </c>
      <c r="P47">
        <v>134</v>
      </c>
      <c r="Q47">
        <v>0.28575</v>
      </c>
      <c r="R47">
        <f t="shared" si="1"/>
        <v>-0.47622025000000001</v>
      </c>
      <c r="S47" t="str">
        <f t="shared" si="2"/>
        <v/>
      </c>
      <c r="T47">
        <f t="shared" si="3"/>
        <v>0.71425000000000005</v>
      </c>
      <c r="U47">
        <f t="shared" si="4"/>
        <v>0.30922025000000009</v>
      </c>
      <c r="V47">
        <f t="shared" si="5"/>
        <v>0.83299999999999996</v>
      </c>
    </row>
    <row r="48" spans="1:22" x14ac:dyDescent="0.25">
      <c r="A48" s="2">
        <v>45873.677083333343</v>
      </c>
      <c r="B48" t="s">
        <v>45</v>
      </c>
      <c r="C48" t="s">
        <v>42</v>
      </c>
      <c r="D48">
        <v>72</v>
      </c>
      <c r="E48">
        <v>94</v>
      </c>
      <c r="F48">
        <f t="shared" si="0"/>
        <v>166</v>
      </c>
      <c r="G48">
        <v>139.5</v>
      </c>
      <c r="H48">
        <v>1.833</v>
      </c>
      <c r="I48">
        <v>1.833</v>
      </c>
      <c r="J48">
        <v>65.629249999999999</v>
      </c>
      <c r="K48">
        <v>71.368750000000006</v>
      </c>
      <c r="L48">
        <v>136.99799999999999</v>
      </c>
      <c r="M48">
        <v>-5.7394999999999996</v>
      </c>
      <c r="N48">
        <v>65</v>
      </c>
      <c r="O48">
        <v>70</v>
      </c>
      <c r="P48">
        <v>137</v>
      </c>
      <c r="Q48">
        <v>0.44600000000000001</v>
      </c>
      <c r="R48">
        <f t="shared" si="1"/>
        <v>-0.18248200000000003</v>
      </c>
      <c r="S48" t="str">
        <f t="shared" si="2"/>
        <v/>
      </c>
      <c r="T48">
        <f t="shared" si="3"/>
        <v>0.55400000000000005</v>
      </c>
      <c r="U48">
        <f t="shared" si="4"/>
        <v>1.5481999999999996E-2</v>
      </c>
      <c r="V48">
        <f t="shared" si="5"/>
        <v>-1</v>
      </c>
    </row>
    <row r="49" spans="1:22" x14ac:dyDescent="0.25">
      <c r="A49" s="2">
        <v>45873.770833333343</v>
      </c>
      <c r="B49" t="s">
        <v>46</v>
      </c>
      <c r="C49" t="s">
        <v>47</v>
      </c>
      <c r="D49">
        <v>112</v>
      </c>
      <c r="E49">
        <v>44</v>
      </c>
      <c r="F49">
        <f t="shared" si="0"/>
        <v>156</v>
      </c>
      <c r="G49">
        <v>140.5</v>
      </c>
      <c r="H49">
        <v>1.833</v>
      </c>
      <c r="I49">
        <v>1.833</v>
      </c>
      <c r="J49">
        <v>73.371750000000006</v>
      </c>
      <c r="K49">
        <v>59.015999999999998</v>
      </c>
      <c r="L49">
        <v>132.38775000000001</v>
      </c>
      <c r="M49">
        <v>14.35575</v>
      </c>
      <c r="N49">
        <v>73</v>
      </c>
      <c r="O49">
        <v>58</v>
      </c>
      <c r="P49">
        <v>131</v>
      </c>
      <c r="Q49">
        <v>0.33200000000000002</v>
      </c>
      <c r="R49">
        <f t="shared" si="1"/>
        <v>-0.39144400000000001</v>
      </c>
      <c r="S49" t="str">
        <f t="shared" si="2"/>
        <v/>
      </c>
      <c r="T49">
        <f t="shared" si="3"/>
        <v>0.66799999999999993</v>
      </c>
      <c r="U49">
        <f t="shared" si="4"/>
        <v>0.22444399999999987</v>
      </c>
      <c r="V49">
        <f t="shared" si="5"/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0046-7F62-4F96-8E61-983BB6FEB9E8}">
  <dimension ref="A1:Q59"/>
  <sheetViews>
    <sheetView topLeftCell="A43" workbookViewId="0">
      <selection activeCell="L59" sqref="L59"/>
    </sheetView>
  </sheetViews>
  <sheetFormatPr defaultRowHeight="15" x14ac:dyDescent="0.25"/>
  <cols>
    <col min="1" max="1" width="18.28515625" bestFit="1" customWidth="1"/>
    <col min="2" max="3" width="25.7109375" bestFit="1" customWidth="1"/>
    <col min="4" max="4" width="9.28515625" bestFit="1" customWidth="1"/>
    <col min="5" max="5" width="8.7109375" bestFit="1" customWidth="1"/>
    <col min="6" max="6" width="14.28515625" bestFit="1" customWidth="1"/>
    <col min="7" max="7" width="11" bestFit="1" customWidth="1"/>
    <col min="8" max="8" width="11.42578125" bestFit="1" customWidth="1"/>
    <col min="9" max="9" width="10.85546875" bestFit="1" customWidth="1"/>
    <col min="10" max="10" width="14.5703125" bestFit="1" customWidth="1"/>
    <col min="15" max="15" width="14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</v>
      </c>
      <c r="G1" s="1" t="s">
        <v>13</v>
      </c>
      <c r="H1" s="1" t="s">
        <v>14</v>
      </c>
      <c r="I1" s="1" t="s">
        <v>15</v>
      </c>
      <c r="J1" s="1" t="s">
        <v>55</v>
      </c>
      <c r="L1" s="5" t="s">
        <v>57</v>
      </c>
      <c r="M1" s="5" t="s">
        <v>58</v>
      </c>
      <c r="O1" s="1" t="s">
        <v>61</v>
      </c>
      <c r="P1" s="6" t="s">
        <v>59</v>
      </c>
      <c r="Q1" s="6" t="s">
        <v>60</v>
      </c>
    </row>
    <row r="2" spans="1:17" x14ac:dyDescent="0.25">
      <c r="A2" s="2">
        <v>45867.375</v>
      </c>
      <c r="B2" t="s">
        <v>27</v>
      </c>
      <c r="C2" t="s">
        <v>28</v>
      </c>
      <c r="D2">
        <v>24</v>
      </c>
      <c r="E2">
        <v>24</v>
      </c>
      <c r="F2">
        <f>D2-E2</f>
        <v>0</v>
      </c>
      <c r="G2">
        <v>5.5</v>
      </c>
      <c r="H2">
        <v>1.909</v>
      </c>
      <c r="I2">
        <v>1.7689999999999999</v>
      </c>
      <c r="J2">
        <v>0.58599999999999997</v>
      </c>
      <c r="L2">
        <f>J2*H2-1</f>
        <v>0.11867399999999995</v>
      </c>
      <c r="M2">
        <f>IF(L2&gt;0,IF(D2+G2&gt;E2,H2-1,-1),"")</f>
        <v>0.90900000000000003</v>
      </c>
      <c r="O2">
        <f>1-J2</f>
        <v>0.41400000000000003</v>
      </c>
      <c r="P2">
        <f>O2*I2-1</f>
        <v>-0.26763399999999993</v>
      </c>
      <c r="Q2" t="str">
        <f>IF(P2&gt;0,IF(D2+G2&lt;E2,I2-1,-1),"")</f>
        <v/>
      </c>
    </row>
    <row r="3" spans="1:17" x14ac:dyDescent="0.25">
      <c r="A3" s="2">
        <v>45867.46875</v>
      </c>
      <c r="B3" t="s">
        <v>29</v>
      </c>
      <c r="C3" t="s">
        <v>30</v>
      </c>
      <c r="D3">
        <v>23</v>
      </c>
      <c r="E3">
        <v>16</v>
      </c>
      <c r="F3">
        <f t="shared" ref="F3:F49" si="0">D3-E3</f>
        <v>7</v>
      </c>
      <c r="G3">
        <v>-5.5</v>
      </c>
      <c r="H3">
        <v>1.7689999999999999</v>
      </c>
      <c r="I3">
        <v>1.909</v>
      </c>
      <c r="J3">
        <v>0.48525000000000001</v>
      </c>
      <c r="L3">
        <f t="shared" ref="L3:L49" si="1">J3*H3-1</f>
        <v>-0.14159275000000004</v>
      </c>
      <c r="M3" t="str">
        <f t="shared" ref="M3:M49" si="2">IF(L3&gt;0,IF(D3+G3&gt;E3,H3-1,-1),"")</f>
        <v/>
      </c>
      <c r="O3">
        <f t="shared" ref="O3:O49" si="3">1-J3</f>
        <v>0.51475000000000004</v>
      </c>
      <c r="P3">
        <f t="shared" ref="P3:P49" si="4">O3*I3-1</f>
        <v>-1.7342249999999892E-2</v>
      </c>
      <c r="Q3" t="str">
        <f t="shared" ref="Q3:Q49" si="5">IF(P3&gt;0,IF(D3+G3&lt;E3,I3-1,-1),"")</f>
        <v/>
      </c>
    </row>
    <row r="4" spans="1:17" x14ac:dyDescent="0.25">
      <c r="A4" s="2">
        <v>45867.583333333343</v>
      </c>
      <c r="B4" t="s">
        <v>31</v>
      </c>
      <c r="C4" t="s">
        <v>32</v>
      </c>
      <c r="D4">
        <v>22</v>
      </c>
      <c r="E4">
        <v>25</v>
      </c>
      <c r="F4">
        <f t="shared" si="0"/>
        <v>-3</v>
      </c>
      <c r="G4">
        <v>1.5</v>
      </c>
      <c r="H4">
        <v>1.833</v>
      </c>
      <c r="I4">
        <v>1.833</v>
      </c>
      <c r="J4">
        <v>0.53225</v>
      </c>
      <c r="L4">
        <f t="shared" si="1"/>
        <v>-2.4385749999999984E-2</v>
      </c>
      <c r="M4" t="str">
        <f t="shared" si="2"/>
        <v/>
      </c>
      <c r="O4">
        <f t="shared" si="3"/>
        <v>0.46775</v>
      </c>
      <c r="P4">
        <f t="shared" si="4"/>
        <v>-0.14261425000000005</v>
      </c>
      <c r="Q4" t="str">
        <f t="shared" si="5"/>
        <v/>
      </c>
    </row>
    <row r="5" spans="1:17" x14ac:dyDescent="0.25">
      <c r="A5" s="2">
        <v>45867.677083333343</v>
      </c>
      <c r="B5" t="s">
        <v>33</v>
      </c>
      <c r="C5" t="s">
        <v>34</v>
      </c>
      <c r="D5">
        <v>24</v>
      </c>
      <c r="E5">
        <v>21</v>
      </c>
      <c r="F5">
        <f t="shared" si="0"/>
        <v>3</v>
      </c>
      <c r="G5">
        <v>-11.5</v>
      </c>
      <c r="H5">
        <v>1.833</v>
      </c>
      <c r="I5">
        <v>1.833</v>
      </c>
      <c r="J5">
        <v>0.23749999999999999</v>
      </c>
      <c r="L5">
        <f t="shared" si="1"/>
        <v>-0.56466250000000007</v>
      </c>
      <c r="M5" t="str">
        <f t="shared" si="2"/>
        <v/>
      </c>
      <c r="O5">
        <f t="shared" si="3"/>
        <v>0.76249999999999996</v>
      </c>
      <c r="P5">
        <f t="shared" si="4"/>
        <v>0.39766249999999981</v>
      </c>
      <c r="Q5">
        <f t="shared" si="5"/>
        <v>0.83299999999999996</v>
      </c>
    </row>
    <row r="6" spans="1:17" x14ac:dyDescent="0.25">
      <c r="A6" s="2">
        <v>45868.375</v>
      </c>
      <c r="B6" t="s">
        <v>35</v>
      </c>
      <c r="C6" t="s">
        <v>27</v>
      </c>
      <c r="D6">
        <v>21</v>
      </c>
      <c r="E6">
        <v>7</v>
      </c>
      <c r="F6">
        <f t="shared" si="0"/>
        <v>14</v>
      </c>
      <c r="M6" t="str">
        <f t="shared" si="2"/>
        <v/>
      </c>
      <c r="O6">
        <f t="shared" si="3"/>
        <v>1</v>
      </c>
      <c r="P6">
        <f t="shared" si="4"/>
        <v>-1</v>
      </c>
      <c r="Q6" t="str">
        <f t="shared" si="5"/>
        <v/>
      </c>
    </row>
    <row r="7" spans="1:17" x14ac:dyDescent="0.25">
      <c r="A7" s="2">
        <v>45868.395833333343</v>
      </c>
      <c r="B7" t="s">
        <v>36</v>
      </c>
      <c r="C7" t="s">
        <v>37</v>
      </c>
      <c r="D7">
        <v>17</v>
      </c>
      <c r="E7">
        <v>14</v>
      </c>
      <c r="F7">
        <f t="shared" si="0"/>
        <v>3</v>
      </c>
      <c r="G7">
        <v>-3.5</v>
      </c>
      <c r="H7">
        <v>1.833</v>
      </c>
      <c r="I7">
        <v>1.833</v>
      </c>
      <c r="J7">
        <v>0.39650000000000002</v>
      </c>
      <c r="L7">
        <f t="shared" si="1"/>
        <v>-0.27321549999999994</v>
      </c>
      <c r="M7" t="str">
        <f t="shared" si="2"/>
        <v/>
      </c>
      <c r="O7">
        <f t="shared" si="3"/>
        <v>0.60349999999999993</v>
      </c>
      <c r="P7">
        <f t="shared" si="4"/>
        <v>0.1062154999999998</v>
      </c>
      <c r="Q7">
        <f t="shared" si="5"/>
        <v>0.83299999999999996</v>
      </c>
    </row>
    <row r="8" spans="1:17" x14ac:dyDescent="0.25">
      <c r="A8" s="2">
        <v>45868.46875</v>
      </c>
      <c r="B8" t="s">
        <v>28</v>
      </c>
      <c r="C8" t="s">
        <v>29</v>
      </c>
      <c r="D8">
        <v>25</v>
      </c>
      <c r="E8">
        <v>32</v>
      </c>
      <c r="F8">
        <f t="shared" si="0"/>
        <v>-7</v>
      </c>
      <c r="G8">
        <v>2.5</v>
      </c>
      <c r="H8">
        <v>1.833</v>
      </c>
      <c r="I8">
        <v>1.833</v>
      </c>
      <c r="J8">
        <v>0.56950000000000001</v>
      </c>
      <c r="L8">
        <f t="shared" si="1"/>
        <v>4.389350000000003E-2</v>
      </c>
      <c r="M8">
        <f t="shared" si="2"/>
        <v>-1</v>
      </c>
      <c r="O8">
        <f t="shared" si="3"/>
        <v>0.43049999999999999</v>
      </c>
      <c r="P8">
        <f t="shared" si="4"/>
        <v>-0.21089350000000007</v>
      </c>
      <c r="Q8" t="str">
        <f t="shared" si="5"/>
        <v/>
      </c>
    </row>
    <row r="9" spans="1:17" x14ac:dyDescent="0.25">
      <c r="A9" s="2">
        <v>45868.489583333343</v>
      </c>
      <c r="B9" t="s">
        <v>38</v>
      </c>
      <c r="C9" t="s">
        <v>39</v>
      </c>
      <c r="D9">
        <v>13</v>
      </c>
      <c r="E9">
        <v>38</v>
      </c>
      <c r="F9">
        <f t="shared" si="0"/>
        <v>-25</v>
      </c>
      <c r="G9">
        <v>9.5</v>
      </c>
      <c r="H9">
        <v>1.833</v>
      </c>
      <c r="I9">
        <v>1.833</v>
      </c>
      <c r="J9">
        <v>0.72950000000000004</v>
      </c>
      <c r="L9">
        <f t="shared" si="1"/>
        <v>0.33717350000000001</v>
      </c>
      <c r="M9">
        <f t="shared" si="2"/>
        <v>-1</v>
      </c>
      <c r="O9">
        <f t="shared" si="3"/>
        <v>0.27049999999999996</v>
      </c>
      <c r="P9">
        <f t="shared" si="4"/>
        <v>-0.50417350000000005</v>
      </c>
      <c r="Q9" t="str">
        <f t="shared" si="5"/>
        <v/>
      </c>
    </row>
    <row r="10" spans="1:17" x14ac:dyDescent="0.25">
      <c r="A10" s="2">
        <v>45868.583333333343</v>
      </c>
      <c r="B10" t="s">
        <v>40</v>
      </c>
      <c r="C10" t="s">
        <v>41</v>
      </c>
      <c r="D10">
        <v>27</v>
      </c>
      <c r="E10">
        <v>15</v>
      </c>
      <c r="F10">
        <f t="shared" si="0"/>
        <v>12</v>
      </c>
      <c r="G10">
        <v>-7.5</v>
      </c>
      <c r="H10">
        <v>1.8</v>
      </c>
      <c r="I10">
        <v>1.869</v>
      </c>
      <c r="J10">
        <v>0.28999999999999998</v>
      </c>
      <c r="L10">
        <f t="shared" si="1"/>
        <v>-0.47799999999999998</v>
      </c>
      <c r="M10" t="str">
        <f t="shared" si="2"/>
        <v/>
      </c>
      <c r="O10">
        <f t="shared" si="3"/>
        <v>0.71</v>
      </c>
      <c r="P10">
        <f t="shared" si="4"/>
        <v>0.32698999999999989</v>
      </c>
      <c r="Q10">
        <f t="shared" si="5"/>
        <v>-1</v>
      </c>
    </row>
    <row r="11" spans="1:17" x14ac:dyDescent="0.25">
      <c r="A11" s="2">
        <v>45868.583333333343</v>
      </c>
      <c r="B11" t="s">
        <v>42</v>
      </c>
      <c r="C11" t="s">
        <v>43</v>
      </c>
      <c r="D11">
        <v>21</v>
      </c>
      <c r="E11">
        <v>23</v>
      </c>
      <c r="F11">
        <f t="shared" si="0"/>
        <v>-2</v>
      </c>
      <c r="G11">
        <v>-4.5</v>
      </c>
      <c r="H11">
        <v>1.8</v>
      </c>
      <c r="I11">
        <v>1.869</v>
      </c>
      <c r="J11">
        <v>0.4</v>
      </c>
      <c r="L11">
        <f t="shared" si="1"/>
        <v>-0.27999999999999992</v>
      </c>
      <c r="M11" t="str">
        <f t="shared" si="2"/>
        <v/>
      </c>
      <c r="O11">
        <f t="shared" si="3"/>
        <v>0.6</v>
      </c>
      <c r="P11">
        <f t="shared" si="4"/>
        <v>0.12139999999999995</v>
      </c>
      <c r="Q11">
        <f t="shared" si="5"/>
        <v>0.86899999999999999</v>
      </c>
    </row>
    <row r="12" spans="1:17" x14ac:dyDescent="0.25">
      <c r="A12" s="2">
        <v>45868.625</v>
      </c>
      <c r="B12" t="s">
        <v>44</v>
      </c>
      <c r="C12" t="s">
        <v>31</v>
      </c>
      <c r="D12">
        <v>20</v>
      </c>
      <c r="E12">
        <v>12</v>
      </c>
      <c r="F12">
        <f t="shared" si="0"/>
        <v>8</v>
      </c>
      <c r="G12">
        <v>-1.5</v>
      </c>
      <c r="H12">
        <v>1.714</v>
      </c>
      <c r="I12">
        <v>2</v>
      </c>
      <c r="J12">
        <v>0.45374999999999999</v>
      </c>
      <c r="L12">
        <f t="shared" si="1"/>
        <v>-0.22227249999999998</v>
      </c>
      <c r="M12" t="str">
        <f t="shared" si="2"/>
        <v/>
      </c>
      <c r="O12">
        <f t="shared" si="3"/>
        <v>0.54625000000000001</v>
      </c>
      <c r="P12">
        <f t="shared" si="4"/>
        <v>9.2500000000000027E-2</v>
      </c>
      <c r="Q12">
        <f t="shared" si="5"/>
        <v>-1</v>
      </c>
    </row>
    <row r="13" spans="1:17" x14ac:dyDescent="0.25">
      <c r="A13" s="2">
        <v>45868.677083333343</v>
      </c>
      <c r="B13" t="s">
        <v>45</v>
      </c>
      <c r="C13" t="s">
        <v>46</v>
      </c>
      <c r="D13">
        <v>7</v>
      </c>
      <c r="E13">
        <v>32</v>
      </c>
      <c r="F13">
        <f t="shared" si="0"/>
        <v>-25</v>
      </c>
      <c r="G13">
        <v>4.5</v>
      </c>
      <c r="H13">
        <v>1.909</v>
      </c>
      <c r="I13">
        <v>1.7689999999999999</v>
      </c>
      <c r="J13">
        <v>0.58025000000000004</v>
      </c>
      <c r="L13">
        <f t="shared" si="1"/>
        <v>0.10769725000000019</v>
      </c>
      <c r="M13">
        <f t="shared" si="2"/>
        <v>-1</v>
      </c>
      <c r="O13">
        <f t="shared" si="3"/>
        <v>0.41974999999999996</v>
      </c>
      <c r="P13">
        <f t="shared" si="4"/>
        <v>-0.25746225000000011</v>
      </c>
      <c r="Q13" t="str">
        <f t="shared" si="5"/>
        <v/>
      </c>
    </row>
    <row r="14" spans="1:17" x14ac:dyDescent="0.25">
      <c r="A14" s="2">
        <v>45868.71875</v>
      </c>
      <c r="B14" t="s">
        <v>32</v>
      </c>
      <c r="C14" t="s">
        <v>33</v>
      </c>
      <c r="D14">
        <v>9</v>
      </c>
      <c r="E14">
        <v>22</v>
      </c>
      <c r="F14">
        <f t="shared" si="0"/>
        <v>-13</v>
      </c>
      <c r="G14">
        <v>2.5</v>
      </c>
      <c r="H14">
        <v>1.833</v>
      </c>
      <c r="I14">
        <v>1.833</v>
      </c>
      <c r="J14">
        <v>0.58899999999999997</v>
      </c>
      <c r="L14">
        <f t="shared" si="1"/>
        <v>7.9636999999999958E-2</v>
      </c>
      <c r="M14">
        <f t="shared" si="2"/>
        <v>-1</v>
      </c>
      <c r="O14">
        <f t="shared" si="3"/>
        <v>0.41100000000000003</v>
      </c>
      <c r="P14">
        <f t="shared" si="4"/>
        <v>-0.246637</v>
      </c>
      <c r="Q14" t="str">
        <f t="shared" si="5"/>
        <v/>
      </c>
    </row>
    <row r="15" spans="1:17" x14ac:dyDescent="0.25">
      <c r="A15" s="2">
        <v>45868.770833333343</v>
      </c>
      <c r="B15" t="s">
        <v>47</v>
      </c>
      <c r="C15" t="s">
        <v>48</v>
      </c>
      <c r="D15">
        <v>17</v>
      </c>
      <c r="E15">
        <v>18</v>
      </c>
      <c r="F15">
        <f t="shared" si="0"/>
        <v>-1</v>
      </c>
      <c r="G15">
        <v>-1.5</v>
      </c>
      <c r="H15">
        <v>1.833</v>
      </c>
      <c r="I15">
        <v>1.833</v>
      </c>
      <c r="J15">
        <v>0.51324999999999998</v>
      </c>
      <c r="L15">
        <f t="shared" si="1"/>
        <v>-5.9212750000000036E-2</v>
      </c>
      <c r="M15" t="str">
        <f t="shared" si="2"/>
        <v/>
      </c>
      <c r="O15">
        <f t="shared" si="3"/>
        <v>0.48675000000000002</v>
      </c>
      <c r="P15">
        <f t="shared" si="4"/>
        <v>-0.10778725</v>
      </c>
      <c r="Q15" t="str">
        <f t="shared" si="5"/>
        <v/>
      </c>
    </row>
    <row r="16" spans="1:17" x14ac:dyDescent="0.25">
      <c r="A16" s="2">
        <v>45869.375</v>
      </c>
      <c r="B16" t="s">
        <v>30</v>
      </c>
      <c r="C16" t="s">
        <v>35</v>
      </c>
      <c r="D16">
        <v>21</v>
      </c>
      <c r="E16">
        <v>23</v>
      </c>
      <c r="F16">
        <f t="shared" si="0"/>
        <v>-2</v>
      </c>
      <c r="G16">
        <v>9.5</v>
      </c>
      <c r="H16">
        <v>1.833</v>
      </c>
      <c r="I16">
        <v>1.833</v>
      </c>
      <c r="J16">
        <v>0.62549999999999994</v>
      </c>
      <c r="L16">
        <f t="shared" si="1"/>
        <v>0.14654149999999988</v>
      </c>
      <c r="M16">
        <f t="shared" si="2"/>
        <v>0.83299999999999996</v>
      </c>
      <c r="O16">
        <f t="shared" si="3"/>
        <v>0.37450000000000006</v>
      </c>
      <c r="P16">
        <f t="shared" si="4"/>
        <v>-0.31354149999999992</v>
      </c>
      <c r="Q16" t="str">
        <f t="shared" si="5"/>
        <v/>
      </c>
    </row>
    <row r="17" spans="1:17" x14ac:dyDescent="0.25">
      <c r="A17" s="2">
        <v>45869.395833333343</v>
      </c>
      <c r="B17" t="s">
        <v>39</v>
      </c>
      <c r="C17" t="s">
        <v>36</v>
      </c>
      <c r="D17">
        <v>19</v>
      </c>
      <c r="E17">
        <v>15</v>
      </c>
      <c r="F17">
        <f t="shared" si="0"/>
        <v>4</v>
      </c>
      <c r="G17">
        <v>-4.5</v>
      </c>
      <c r="H17">
        <v>1.833</v>
      </c>
      <c r="I17">
        <v>1.833</v>
      </c>
      <c r="J17">
        <v>0.38300000000000001</v>
      </c>
      <c r="L17">
        <f t="shared" si="1"/>
        <v>-0.29796100000000003</v>
      </c>
      <c r="M17" t="str">
        <f t="shared" si="2"/>
        <v/>
      </c>
      <c r="O17">
        <f t="shared" si="3"/>
        <v>0.61699999999999999</v>
      </c>
      <c r="P17">
        <f t="shared" si="4"/>
        <v>0.13096099999999988</v>
      </c>
      <c r="Q17">
        <f t="shared" si="5"/>
        <v>0.83299999999999996</v>
      </c>
    </row>
    <row r="18" spans="1:17" x14ac:dyDescent="0.25">
      <c r="A18" s="2">
        <v>45869.46875</v>
      </c>
      <c r="B18" t="s">
        <v>27</v>
      </c>
      <c r="C18" t="s">
        <v>29</v>
      </c>
      <c r="D18">
        <v>15</v>
      </c>
      <c r="E18">
        <v>25</v>
      </c>
      <c r="F18">
        <f t="shared" si="0"/>
        <v>-10</v>
      </c>
      <c r="G18">
        <v>6.5</v>
      </c>
      <c r="H18">
        <v>1.833</v>
      </c>
      <c r="I18">
        <v>1.833</v>
      </c>
      <c r="J18">
        <v>0.622</v>
      </c>
      <c r="L18">
        <f t="shared" si="1"/>
        <v>0.14012599999999997</v>
      </c>
      <c r="M18">
        <f t="shared" si="2"/>
        <v>-1</v>
      </c>
      <c r="O18">
        <f t="shared" si="3"/>
        <v>0.378</v>
      </c>
      <c r="P18">
        <f t="shared" si="4"/>
        <v>-0.30712600000000001</v>
      </c>
      <c r="Q18" t="str">
        <f t="shared" si="5"/>
        <v/>
      </c>
    </row>
    <row r="19" spans="1:17" x14ac:dyDescent="0.25">
      <c r="A19" s="2">
        <v>45869.583333333343</v>
      </c>
      <c r="B19" t="s">
        <v>46</v>
      </c>
      <c r="C19" t="s">
        <v>42</v>
      </c>
      <c r="D19">
        <v>23</v>
      </c>
      <c r="E19">
        <v>14</v>
      </c>
      <c r="F19">
        <f t="shared" si="0"/>
        <v>9</v>
      </c>
      <c r="G19">
        <v>-3.5</v>
      </c>
      <c r="H19">
        <v>1.7689999999999999</v>
      </c>
      <c r="I19">
        <v>1.909</v>
      </c>
      <c r="J19">
        <v>0.38750000000000001</v>
      </c>
      <c r="L19">
        <f t="shared" si="1"/>
        <v>-0.31451249999999997</v>
      </c>
      <c r="M19" t="str">
        <f t="shared" si="2"/>
        <v/>
      </c>
      <c r="O19">
        <f t="shared" si="3"/>
        <v>0.61250000000000004</v>
      </c>
      <c r="P19">
        <f t="shared" si="4"/>
        <v>0.16926250000000009</v>
      </c>
      <c r="Q19">
        <f t="shared" si="5"/>
        <v>-1</v>
      </c>
    </row>
    <row r="20" spans="1:17" x14ac:dyDescent="0.25">
      <c r="A20" s="2">
        <v>45869.625</v>
      </c>
      <c r="B20" t="s">
        <v>31</v>
      </c>
      <c r="C20" t="s">
        <v>34</v>
      </c>
      <c r="D20">
        <v>20</v>
      </c>
      <c r="E20">
        <v>18</v>
      </c>
      <c r="F20">
        <f t="shared" si="0"/>
        <v>2</v>
      </c>
      <c r="G20">
        <v>-10.5</v>
      </c>
      <c r="H20">
        <v>1.833</v>
      </c>
      <c r="I20">
        <v>1.833</v>
      </c>
      <c r="J20">
        <v>0.20874999999999999</v>
      </c>
      <c r="L20">
        <f t="shared" si="1"/>
        <v>-0.61736125000000008</v>
      </c>
      <c r="M20" t="str">
        <f t="shared" si="2"/>
        <v/>
      </c>
      <c r="O20">
        <f t="shared" si="3"/>
        <v>0.79125000000000001</v>
      </c>
      <c r="P20">
        <f t="shared" si="4"/>
        <v>0.45036125000000005</v>
      </c>
      <c r="Q20">
        <f t="shared" si="5"/>
        <v>0.83299999999999996</v>
      </c>
    </row>
    <row r="21" spans="1:17" x14ac:dyDescent="0.25">
      <c r="A21" s="2">
        <v>45869.677083333343</v>
      </c>
      <c r="B21" t="s">
        <v>48</v>
      </c>
      <c r="C21" t="s">
        <v>45</v>
      </c>
      <c r="D21">
        <v>13</v>
      </c>
      <c r="E21">
        <v>26</v>
      </c>
      <c r="F21">
        <f t="shared" si="0"/>
        <v>-13</v>
      </c>
      <c r="G21">
        <v>0.5</v>
      </c>
      <c r="H21">
        <v>1.833</v>
      </c>
      <c r="I21">
        <v>1.833</v>
      </c>
      <c r="J21">
        <v>0.38874999999999998</v>
      </c>
      <c r="L21">
        <f t="shared" si="1"/>
        <v>-0.28742125000000007</v>
      </c>
      <c r="M21" t="str">
        <f t="shared" si="2"/>
        <v/>
      </c>
      <c r="O21">
        <f t="shared" si="3"/>
        <v>0.61125000000000007</v>
      </c>
      <c r="P21">
        <f t="shared" si="4"/>
        <v>0.12042125000000015</v>
      </c>
      <c r="Q21">
        <f t="shared" si="5"/>
        <v>0.83299999999999996</v>
      </c>
    </row>
    <row r="22" spans="1:17" x14ac:dyDescent="0.25">
      <c r="A22" s="2">
        <v>45869.71875</v>
      </c>
      <c r="B22" t="s">
        <v>32</v>
      </c>
      <c r="C22" t="s">
        <v>44</v>
      </c>
      <c r="D22">
        <v>26</v>
      </c>
      <c r="E22">
        <v>19</v>
      </c>
      <c r="F22">
        <f t="shared" si="0"/>
        <v>7</v>
      </c>
      <c r="G22">
        <v>1.5</v>
      </c>
      <c r="H22">
        <v>2</v>
      </c>
      <c r="I22">
        <v>1.714</v>
      </c>
      <c r="J22">
        <v>0.58774999999999999</v>
      </c>
      <c r="L22">
        <f t="shared" si="1"/>
        <v>0.17549999999999999</v>
      </c>
      <c r="M22">
        <f t="shared" si="2"/>
        <v>1</v>
      </c>
      <c r="O22">
        <f t="shared" si="3"/>
        <v>0.41225000000000001</v>
      </c>
      <c r="P22">
        <f t="shared" si="4"/>
        <v>-0.29340350000000004</v>
      </c>
      <c r="Q22" t="str">
        <f t="shared" si="5"/>
        <v/>
      </c>
    </row>
    <row r="23" spans="1:17" x14ac:dyDescent="0.25">
      <c r="A23" s="2">
        <v>45869.802083333343</v>
      </c>
      <c r="B23" t="s">
        <v>43</v>
      </c>
      <c r="C23" t="s">
        <v>47</v>
      </c>
      <c r="D23">
        <v>18</v>
      </c>
      <c r="E23">
        <v>18</v>
      </c>
      <c r="F23">
        <f t="shared" si="0"/>
        <v>0</v>
      </c>
      <c r="G23">
        <v>-0.5</v>
      </c>
      <c r="H23">
        <v>1.8</v>
      </c>
      <c r="I23">
        <v>1.869</v>
      </c>
      <c r="J23">
        <v>0.51624999999999999</v>
      </c>
      <c r="L23">
        <f t="shared" si="1"/>
        <v>-7.074999999999998E-2</v>
      </c>
      <c r="M23" t="str">
        <f t="shared" si="2"/>
        <v/>
      </c>
      <c r="O23">
        <f t="shared" si="3"/>
        <v>0.48375000000000001</v>
      </c>
      <c r="P23">
        <f t="shared" si="4"/>
        <v>-9.5871249999999963E-2</v>
      </c>
      <c r="Q23" t="str">
        <f t="shared" si="5"/>
        <v/>
      </c>
    </row>
    <row r="24" spans="1:17" x14ac:dyDescent="0.25">
      <c r="A24" s="2">
        <v>45870.375</v>
      </c>
      <c r="B24" t="s">
        <v>35</v>
      </c>
      <c r="C24" t="s">
        <v>28</v>
      </c>
      <c r="D24">
        <v>24</v>
      </c>
      <c r="E24">
        <v>17</v>
      </c>
      <c r="F24">
        <f t="shared" si="0"/>
        <v>7</v>
      </c>
      <c r="G24">
        <v>-3.5</v>
      </c>
      <c r="H24">
        <v>1.833</v>
      </c>
      <c r="I24">
        <v>1.833</v>
      </c>
      <c r="J24">
        <v>0.45624999999999999</v>
      </c>
      <c r="L24">
        <f t="shared" si="1"/>
        <v>-0.16369375000000008</v>
      </c>
      <c r="M24" t="str">
        <f t="shared" si="2"/>
        <v/>
      </c>
      <c r="O24">
        <f t="shared" si="3"/>
        <v>0.54374999999999996</v>
      </c>
      <c r="P24">
        <f t="shared" si="4"/>
        <v>-3.3062500000000661E-3</v>
      </c>
      <c r="Q24" t="str">
        <f t="shared" si="5"/>
        <v/>
      </c>
    </row>
    <row r="25" spans="1:17" x14ac:dyDescent="0.25">
      <c r="A25" s="2">
        <v>45870.395833333343</v>
      </c>
      <c r="B25" t="s">
        <v>41</v>
      </c>
      <c r="C25" t="s">
        <v>39</v>
      </c>
      <c r="D25">
        <v>14</v>
      </c>
      <c r="E25">
        <v>24</v>
      </c>
      <c r="F25">
        <f t="shared" si="0"/>
        <v>-10</v>
      </c>
      <c r="G25">
        <v>8.5</v>
      </c>
      <c r="H25">
        <v>2</v>
      </c>
      <c r="I25">
        <v>1.714</v>
      </c>
      <c r="J25">
        <v>0.69874999999999998</v>
      </c>
      <c r="L25">
        <f t="shared" si="1"/>
        <v>0.39749999999999996</v>
      </c>
      <c r="M25">
        <f t="shared" si="2"/>
        <v>-1</v>
      </c>
      <c r="O25">
        <f t="shared" si="3"/>
        <v>0.30125000000000002</v>
      </c>
      <c r="P25">
        <f t="shared" si="4"/>
        <v>-0.48365749999999996</v>
      </c>
      <c r="Q25" t="str">
        <f t="shared" si="5"/>
        <v/>
      </c>
    </row>
    <row r="26" spans="1:17" x14ac:dyDescent="0.25">
      <c r="A26" s="2">
        <v>45870.46875</v>
      </c>
      <c r="B26" t="s">
        <v>30</v>
      </c>
      <c r="C26" t="s">
        <v>27</v>
      </c>
      <c r="D26">
        <v>29</v>
      </c>
      <c r="E26">
        <v>17</v>
      </c>
      <c r="F26">
        <f t="shared" si="0"/>
        <v>12</v>
      </c>
      <c r="G26">
        <v>0.5</v>
      </c>
      <c r="H26">
        <v>1.833</v>
      </c>
      <c r="I26">
        <v>1.833</v>
      </c>
      <c r="J26">
        <v>0.46875</v>
      </c>
      <c r="L26">
        <f t="shared" si="1"/>
        <v>-0.14078124999999997</v>
      </c>
      <c r="M26" t="str">
        <f t="shared" si="2"/>
        <v/>
      </c>
      <c r="O26">
        <f t="shared" si="3"/>
        <v>0.53125</v>
      </c>
      <c r="P26">
        <f t="shared" si="4"/>
        <v>-2.6218750000000068E-2</v>
      </c>
      <c r="Q26" t="str">
        <f t="shared" si="5"/>
        <v/>
      </c>
    </row>
    <row r="27" spans="1:17" x14ac:dyDescent="0.25">
      <c r="A27" s="2">
        <v>45870.489583333343</v>
      </c>
      <c r="B27" t="s">
        <v>38</v>
      </c>
      <c r="C27" t="s">
        <v>37</v>
      </c>
      <c r="D27">
        <v>18</v>
      </c>
      <c r="E27">
        <v>12</v>
      </c>
      <c r="F27">
        <f t="shared" si="0"/>
        <v>6</v>
      </c>
      <c r="G27">
        <v>7.5</v>
      </c>
      <c r="H27">
        <v>1.909</v>
      </c>
      <c r="I27">
        <v>1.7689999999999999</v>
      </c>
      <c r="J27">
        <v>0.77524999999999999</v>
      </c>
      <c r="L27">
        <f t="shared" si="1"/>
        <v>0.47995224999999997</v>
      </c>
      <c r="M27">
        <f t="shared" si="2"/>
        <v>0.90900000000000003</v>
      </c>
      <c r="O27">
        <f t="shared" si="3"/>
        <v>0.22475000000000001</v>
      </c>
      <c r="P27">
        <f t="shared" si="4"/>
        <v>-0.60241725000000002</v>
      </c>
      <c r="Q27" t="str">
        <f t="shared" si="5"/>
        <v/>
      </c>
    </row>
    <row r="28" spans="1:17" x14ac:dyDescent="0.25">
      <c r="A28" s="2">
        <v>45870.541666666657</v>
      </c>
      <c r="B28" t="s">
        <v>34</v>
      </c>
      <c r="C28" t="s">
        <v>32</v>
      </c>
      <c r="D28">
        <v>11</v>
      </c>
      <c r="E28">
        <v>29</v>
      </c>
      <c r="F28">
        <f t="shared" si="0"/>
        <v>-18</v>
      </c>
      <c r="G28">
        <v>10.5</v>
      </c>
      <c r="H28">
        <v>1.833</v>
      </c>
      <c r="I28">
        <v>1.833</v>
      </c>
      <c r="J28">
        <v>0.76424999999999998</v>
      </c>
      <c r="L28">
        <f t="shared" si="1"/>
        <v>0.40087024999999987</v>
      </c>
      <c r="M28">
        <f t="shared" si="2"/>
        <v>-1</v>
      </c>
      <c r="O28">
        <f t="shared" si="3"/>
        <v>0.23575000000000002</v>
      </c>
      <c r="P28">
        <f t="shared" si="4"/>
        <v>-0.56787024999999991</v>
      </c>
      <c r="Q28" t="str">
        <f t="shared" si="5"/>
        <v/>
      </c>
    </row>
    <row r="29" spans="1:17" x14ac:dyDescent="0.25">
      <c r="A29" s="2">
        <v>45870.583333333343</v>
      </c>
      <c r="B29" t="s">
        <v>36</v>
      </c>
      <c r="C29" t="s">
        <v>40</v>
      </c>
      <c r="D29">
        <v>21</v>
      </c>
      <c r="E29">
        <v>25</v>
      </c>
      <c r="F29">
        <f t="shared" si="0"/>
        <v>-4</v>
      </c>
      <c r="G29">
        <v>6.5</v>
      </c>
      <c r="H29">
        <v>1.833</v>
      </c>
      <c r="I29">
        <v>1.833</v>
      </c>
      <c r="J29">
        <v>0.73824999999999996</v>
      </c>
      <c r="L29">
        <f t="shared" si="1"/>
        <v>0.35321224999999989</v>
      </c>
      <c r="M29">
        <f t="shared" si="2"/>
        <v>0.83299999999999996</v>
      </c>
      <c r="O29">
        <f t="shared" si="3"/>
        <v>0.26175000000000004</v>
      </c>
      <c r="P29">
        <f t="shared" si="4"/>
        <v>-0.52021224999999993</v>
      </c>
      <c r="Q29" t="str">
        <f t="shared" si="5"/>
        <v/>
      </c>
    </row>
    <row r="30" spans="1:17" x14ac:dyDescent="0.25">
      <c r="A30" s="2">
        <v>45870.583333333343</v>
      </c>
      <c r="B30" t="s">
        <v>46</v>
      </c>
      <c r="C30" t="s">
        <v>48</v>
      </c>
      <c r="D30">
        <v>28</v>
      </c>
      <c r="E30">
        <v>4</v>
      </c>
      <c r="F30">
        <f t="shared" si="0"/>
        <v>24</v>
      </c>
      <c r="G30">
        <v>-13.5</v>
      </c>
      <c r="H30">
        <v>1.8</v>
      </c>
      <c r="I30">
        <v>1.869</v>
      </c>
      <c r="J30">
        <v>0.17424999999999999</v>
      </c>
      <c r="L30">
        <f t="shared" si="1"/>
        <v>-0.68635000000000002</v>
      </c>
      <c r="M30" t="str">
        <f t="shared" si="2"/>
        <v/>
      </c>
      <c r="O30">
        <f t="shared" si="3"/>
        <v>0.82574999999999998</v>
      </c>
      <c r="P30">
        <f t="shared" si="4"/>
        <v>0.54332674999999986</v>
      </c>
      <c r="Q30">
        <f t="shared" si="5"/>
        <v>-1</v>
      </c>
    </row>
    <row r="31" spans="1:17" x14ac:dyDescent="0.25">
      <c r="A31" s="2">
        <v>45870.635416666657</v>
      </c>
      <c r="B31" t="s">
        <v>44</v>
      </c>
      <c r="C31" t="s">
        <v>33</v>
      </c>
      <c r="D31">
        <v>23</v>
      </c>
      <c r="E31">
        <v>15</v>
      </c>
      <c r="F31">
        <f t="shared" si="0"/>
        <v>8</v>
      </c>
      <c r="G31">
        <v>4.5</v>
      </c>
      <c r="H31">
        <v>1.869</v>
      </c>
      <c r="I31">
        <v>1.8</v>
      </c>
      <c r="J31">
        <v>0.65249999999999997</v>
      </c>
      <c r="L31">
        <f t="shared" si="1"/>
        <v>0.21952249999999984</v>
      </c>
      <c r="M31">
        <f t="shared" si="2"/>
        <v>0.86899999999999999</v>
      </c>
      <c r="O31">
        <f t="shared" si="3"/>
        <v>0.34750000000000003</v>
      </c>
      <c r="P31">
        <f t="shared" si="4"/>
        <v>-0.37449999999999994</v>
      </c>
      <c r="Q31" t="str">
        <f t="shared" si="5"/>
        <v/>
      </c>
    </row>
    <row r="32" spans="1:17" x14ac:dyDescent="0.25">
      <c r="A32" s="2">
        <v>45870.677083333343</v>
      </c>
      <c r="B32" t="s">
        <v>45</v>
      </c>
      <c r="C32" t="s">
        <v>43</v>
      </c>
      <c r="D32">
        <v>20</v>
      </c>
      <c r="E32">
        <v>18</v>
      </c>
      <c r="F32">
        <f t="shared" si="0"/>
        <v>2</v>
      </c>
      <c r="G32">
        <v>-0.5</v>
      </c>
      <c r="H32">
        <v>1.909</v>
      </c>
      <c r="I32">
        <v>1.7689999999999999</v>
      </c>
      <c r="J32">
        <v>0.48475000000000001</v>
      </c>
      <c r="L32">
        <f t="shared" si="1"/>
        <v>-7.4612249999999936E-2</v>
      </c>
      <c r="M32" t="str">
        <f t="shared" si="2"/>
        <v/>
      </c>
      <c r="O32">
        <f t="shared" si="3"/>
        <v>0.51524999999999999</v>
      </c>
      <c r="P32">
        <f t="shared" si="4"/>
        <v>-8.8522750000000094E-2</v>
      </c>
      <c r="Q32" t="str">
        <f t="shared" si="5"/>
        <v/>
      </c>
    </row>
    <row r="33" spans="1:17" x14ac:dyDescent="0.25">
      <c r="A33" s="2">
        <v>45870.770833333343</v>
      </c>
      <c r="B33" t="s">
        <v>47</v>
      </c>
      <c r="C33" t="s">
        <v>42</v>
      </c>
      <c r="D33">
        <v>19</v>
      </c>
      <c r="E33">
        <v>24</v>
      </c>
      <c r="F33">
        <f t="shared" si="0"/>
        <v>-5</v>
      </c>
      <c r="G33">
        <v>3.5</v>
      </c>
      <c r="H33">
        <v>1.909</v>
      </c>
      <c r="I33">
        <v>1.7689999999999999</v>
      </c>
      <c r="J33">
        <v>0.53174999999999994</v>
      </c>
      <c r="L33">
        <f t="shared" si="1"/>
        <v>1.511074999999984E-2</v>
      </c>
      <c r="M33">
        <f t="shared" si="2"/>
        <v>-1</v>
      </c>
      <c r="O33">
        <f t="shared" si="3"/>
        <v>0.46825000000000006</v>
      </c>
      <c r="P33">
        <f t="shared" si="4"/>
        <v>-0.17166574999999995</v>
      </c>
      <c r="Q33" t="str">
        <f t="shared" si="5"/>
        <v/>
      </c>
    </row>
    <row r="34" spans="1:17" x14ac:dyDescent="0.25">
      <c r="A34" s="2">
        <v>45871.375</v>
      </c>
      <c r="B34" t="s">
        <v>34</v>
      </c>
      <c r="C34" t="s">
        <v>44</v>
      </c>
      <c r="D34">
        <v>10</v>
      </c>
      <c r="E34">
        <v>24</v>
      </c>
      <c r="F34">
        <f t="shared" si="0"/>
        <v>-14</v>
      </c>
      <c r="G34">
        <v>10.5</v>
      </c>
      <c r="H34">
        <v>1.833</v>
      </c>
      <c r="I34">
        <v>1.833</v>
      </c>
      <c r="J34">
        <v>0.76924999999999999</v>
      </c>
      <c r="L34">
        <f t="shared" si="1"/>
        <v>0.41003524999999996</v>
      </c>
      <c r="M34">
        <f t="shared" si="2"/>
        <v>-1</v>
      </c>
      <c r="O34">
        <f t="shared" si="3"/>
        <v>0.23075000000000001</v>
      </c>
      <c r="P34">
        <f t="shared" si="4"/>
        <v>-0.57703525</v>
      </c>
      <c r="Q34" t="str">
        <f t="shared" si="5"/>
        <v/>
      </c>
    </row>
    <row r="35" spans="1:17" x14ac:dyDescent="0.25">
      <c r="A35" s="2">
        <v>45871.375</v>
      </c>
      <c r="B35" t="s">
        <v>28</v>
      </c>
      <c r="C35" t="s">
        <v>30</v>
      </c>
      <c r="D35">
        <v>27</v>
      </c>
      <c r="E35">
        <v>24</v>
      </c>
      <c r="F35">
        <f t="shared" si="0"/>
        <v>3</v>
      </c>
      <c r="G35">
        <v>-2.5</v>
      </c>
      <c r="H35">
        <v>1.833</v>
      </c>
      <c r="I35">
        <v>1.833</v>
      </c>
      <c r="J35">
        <v>0.58299999999999996</v>
      </c>
      <c r="L35">
        <f t="shared" si="1"/>
        <v>6.8638999999999895E-2</v>
      </c>
      <c r="M35">
        <f t="shared" si="2"/>
        <v>0.83299999999999996</v>
      </c>
      <c r="O35">
        <f t="shared" si="3"/>
        <v>0.41700000000000004</v>
      </c>
      <c r="P35">
        <f t="shared" si="4"/>
        <v>-0.23563899999999993</v>
      </c>
      <c r="Q35" t="str">
        <f t="shared" si="5"/>
        <v/>
      </c>
    </row>
    <row r="36" spans="1:17" x14ac:dyDescent="0.25">
      <c r="A36" s="2">
        <v>45871.46875</v>
      </c>
      <c r="B36" t="s">
        <v>29</v>
      </c>
      <c r="C36" t="s">
        <v>35</v>
      </c>
      <c r="D36">
        <v>15</v>
      </c>
      <c r="E36">
        <v>14</v>
      </c>
      <c r="F36">
        <f t="shared" si="0"/>
        <v>1</v>
      </c>
      <c r="G36">
        <v>1.5</v>
      </c>
      <c r="H36">
        <v>2</v>
      </c>
      <c r="I36">
        <v>1.714</v>
      </c>
      <c r="J36">
        <v>0.51449999999999996</v>
      </c>
      <c r="L36">
        <f t="shared" si="1"/>
        <v>2.8999999999999915E-2</v>
      </c>
      <c r="M36">
        <f t="shared" si="2"/>
        <v>1</v>
      </c>
      <c r="O36">
        <f t="shared" si="3"/>
        <v>0.48550000000000004</v>
      </c>
      <c r="P36">
        <f t="shared" si="4"/>
        <v>-0.16785299999999992</v>
      </c>
      <c r="Q36" t="str">
        <f t="shared" si="5"/>
        <v/>
      </c>
    </row>
    <row r="37" spans="1:17" x14ac:dyDescent="0.25">
      <c r="A37" s="2">
        <v>45871.46875</v>
      </c>
      <c r="B37" t="s">
        <v>33</v>
      </c>
      <c r="C37" t="s">
        <v>31</v>
      </c>
      <c r="D37">
        <v>23</v>
      </c>
      <c r="E37">
        <v>17</v>
      </c>
      <c r="F37">
        <f t="shared" si="0"/>
        <v>6</v>
      </c>
      <c r="G37">
        <v>-5.5</v>
      </c>
      <c r="H37">
        <v>1.833</v>
      </c>
      <c r="I37">
        <v>1.833</v>
      </c>
      <c r="J37">
        <v>0.32774999999999999</v>
      </c>
      <c r="L37">
        <f t="shared" si="1"/>
        <v>-0.39923425000000001</v>
      </c>
      <c r="M37" t="str">
        <f t="shared" si="2"/>
        <v/>
      </c>
      <c r="O37">
        <f t="shared" si="3"/>
        <v>0.67225000000000001</v>
      </c>
      <c r="P37">
        <f t="shared" si="4"/>
        <v>0.23223425000000009</v>
      </c>
      <c r="Q37">
        <f t="shared" si="5"/>
        <v>-1</v>
      </c>
    </row>
    <row r="38" spans="1:17" x14ac:dyDescent="0.25">
      <c r="A38" s="2">
        <v>45872.395833333343</v>
      </c>
      <c r="B38" t="s">
        <v>37</v>
      </c>
      <c r="C38" t="s">
        <v>39</v>
      </c>
      <c r="D38">
        <v>16</v>
      </c>
      <c r="E38">
        <v>28</v>
      </c>
      <c r="F38">
        <f t="shared" si="0"/>
        <v>-12</v>
      </c>
      <c r="G38">
        <v>7.5</v>
      </c>
      <c r="H38">
        <v>1.909</v>
      </c>
      <c r="I38">
        <v>1.7689999999999999</v>
      </c>
      <c r="J38">
        <v>0.68025000000000002</v>
      </c>
      <c r="L38">
        <f t="shared" si="1"/>
        <v>0.29859725000000004</v>
      </c>
      <c r="M38">
        <f t="shared" si="2"/>
        <v>-1</v>
      </c>
      <c r="O38">
        <f t="shared" si="3"/>
        <v>0.31974999999999998</v>
      </c>
      <c r="P38">
        <f t="shared" si="4"/>
        <v>-0.43436225000000006</v>
      </c>
      <c r="Q38" t="str">
        <f t="shared" si="5"/>
        <v/>
      </c>
    </row>
    <row r="39" spans="1:17" x14ac:dyDescent="0.25">
      <c r="A39" s="2">
        <v>45872.489583333343</v>
      </c>
      <c r="B39" t="s">
        <v>36</v>
      </c>
      <c r="C39" t="s">
        <v>41</v>
      </c>
      <c r="D39">
        <v>25</v>
      </c>
      <c r="E39">
        <v>8</v>
      </c>
      <c r="F39">
        <f t="shared" si="0"/>
        <v>17</v>
      </c>
      <c r="G39">
        <v>-4.5</v>
      </c>
      <c r="H39">
        <v>1.8</v>
      </c>
      <c r="I39">
        <v>1.869</v>
      </c>
      <c r="J39">
        <v>0.36875000000000002</v>
      </c>
      <c r="L39">
        <f t="shared" si="1"/>
        <v>-0.33624999999999994</v>
      </c>
      <c r="M39" t="str">
        <f t="shared" si="2"/>
        <v/>
      </c>
      <c r="O39">
        <f t="shared" si="3"/>
        <v>0.63124999999999998</v>
      </c>
      <c r="P39">
        <f t="shared" si="4"/>
        <v>0.17980624999999995</v>
      </c>
      <c r="Q39">
        <f t="shared" si="5"/>
        <v>-1</v>
      </c>
    </row>
    <row r="40" spans="1:17" x14ac:dyDescent="0.25">
      <c r="A40" s="2">
        <v>45872.583333333343</v>
      </c>
      <c r="B40" t="s">
        <v>40</v>
      </c>
      <c r="C40" t="s">
        <v>38</v>
      </c>
      <c r="D40">
        <v>36</v>
      </c>
      <c r="E40">
        <v>8</v>
      </c>
      <c r="F40">
        <f t="shared" si="0"/>
        <v>28</v>
      </c>
      <c r="G40">
        <v>-11.5</v>
      </c>
      <c r="H40">
        <v>1.833</v>
      </c>
      <c r="I40">
        <v>1.833</v>
      </c>
      <c r="J40">
        <v>0.17175000000000001</v>
      </c>
      <c r="L40">
        <f t="shared" si="1"/>
        <v>-0.68518224999999999</v>
      </c>
      <c r="M40" t="str">
        <f t="shared" si="2"/>
        <v/>
      </c>
      <c r="O40">
        <f t="shared" si="3"/>
        <v>0.82824999999999993</v>
      </c>
      <c r="P40">
        <f t="shared" si="4"/>
        <v>0.51818224999999973</v>
      </c>
      <c r="Q40">
        <f t="shared" si="5"/>
        <v>-1</v>
      </c>
    </row>
    <row r="41" spans="1:17" x14ac:dyDescent="0.25">
      <c r="A41" s="2">
        <v>45872.583333333343</v>
      </c>
      <c r="B41" t="s">
        <v>43</v>
      </c>
      <c r="C41" t="s">
        <v>46</v>
      </c>
      <c r="D41">
        <v>16</v>
      </c>
      <c r="E41">
        <v>31</v>
      </c>
      <c r="F41">
        <f t="shared" si="0"/>
        <v>-15</v>
      </c>
      <c r="G41">
        <v>8.5</v>
      </c>
      <c r="H41">
        <v>1.833</v>
      </c>
      <c r="I41">
        <v>1.833</v>
      </c>
      <c r="J41">
        <v>0.748</v>
      </c>
      <c r="L41">
        <f t="shared" si="1"/>
        <v>0.37108399999999997</v>
      </c>
      <c r="M41">
        <f t="shared" si="2"/>
        <v>-1</v>
      </c>
      <c r="O41">
        <f t="shared" si="3"/>
        <v>0.252</v>
      </c>
      <c r="P41">
        <f t="shared" si="4"/>
        <v>-0.53808400000000001</v>
      </c>
      <c r="Q41" t="str">
        <f t="shared" si="5"/>
        <v/>
      </c>
    </row>
    <row r="42" spans="1:17" x14ac:dyDescent="0.25">
      <c r="A42" s="2">
        <v>45872.677083333343</v>
      </c>
      <c r="B42" t="s">
        <v>42</v>
      </c>
      <c r="C42" t="s">
        <v>48</v>
      </c>
      <c r="D42">
        <v>17</v>
      </c>
      <c r="E42">
        <v>14</v>
      </c>
      <c r="F42">
        <f t="shared" si="0"/>
        <v>3</v>
      </c>
      <c r="G42">
        <v>-7.5</v>
      </c>
      <c r="H42">
        <v>1.7689999999999999</v>
      </c>
      <c r="I42">
        <v>1.909</v>
      </c>
      <c r="J42">
        <v>0.36375000000000002</v>
      </c>
      <c r="L42">
        <f t="shared" si="1"/>
        <v>-0.35652625000000004</v>
      </c>
      <c r="M42" t="str">
        <f t="shared" si="2"/>
        <v/>
      </c>
      <c r="O42">
        <f t="shared" si="3"/>
        <v>0.63624999999999998</v>
      </c>
      <c r="P42">
        <f t="shared" si="4"/>
        <v>0.21460125000000008</v>
      </c>
      <c r="Q42">
        <f t="shared" si="5"/>
        <v>0.90900000000000003</v>
      </c>
    </row>
    <row r="43" spans="1:17" x14ac:dyDescent="0.25">
      <c r="A43" s="2">
        <v>45872.770833333343</v>
      </c>
      <c r="B43" t="s">
        <v>47</v>
      </c>
      <c r="C43" t="s">
        <v>45</v>
      </c>
      <c r="D43">
        <v>16</v>
      </c>
      <c r="E43">
        <v>21</v>
      </c>
      <c r="F43">
        <f t="shared" si="0"/>
        <v>-5</v>
      </c>
      <c r="G43">
        <v>2.5</v>
      </c>
      <c r="H43">
        <v>1.909</v>
      </c>
      <c r="I43">
        <v>1.7689999999999999</v>
      </c>
      <c r="J43">
        <v>0.5605</v>
      </c>
      <c r="L43">
        <f t="shared" si="1"/>
        <v>6.999449999999996E-2</v>
      </c>
      <c r="M43">
        <f t="shared" si="2"/>
        <v>-1</v>
      </c>
      <c r="O43">
        <f t="shared" si="3"/>
        <v>0.4395</v>
      </c>
      <c r="P43">
        <f t="shared" si="4"/>
        <v>-0.22252450000000001</v>
      </c>
      <c r="Q43" t="str">
        <f t="shared" si="5"/>
        <v/>
      </c>
    </row>
    <row r="44" spans="1:17" x14ac:dyDescent="0.25">
      <c r="A44" s="2">
        <v>45873.395833333343</v>
      </c>
      <c r="B44" t="s">
        <v>41</v>
      </c>
      <c r="C44" t="s">
        <v>37</v>
      </c>
      <c r="D44">
        <v>14</v>
      </c>
      <c r="E44">
        <v>31</v>
      </c>
      <c r="F44">
        <f t="shared" si="0"/>
        <v>-17</v>
      </c>
      <c r="G44">
        <v>2.5</v>
      </c>
      <c r="H44">
        <v>2</v>
      </c>
      <c r="I44">
        <v>1.714</v>
      </c>
      <c r="J44">
        <v>0.59850000000000003</v>
      </c>
      <c r="L44">
        <f t="shared" si="1"/>
        <v>0.19700000000000006</v>
      </c>
      <c r="M44">
        <f t="shared" si="2"/>
        <v>-1</v>
      </c>
      <c r="O44">
        <f t="shared" si="3"/>
        <v>0.40149999999999997</v>
      </c>
      <c r="P44">
        <f t="shared" si="4"/>
        <v>-0.31182900000000002</v>
      </c>
      <c r="Q44" t="str">
        <f t="shared" si="5"/>
        <v/>
      </c>
    </row>
    <row r="45" spans="1:17" x14ac:dyDescent="0.25">
      <c r="A45" s="2">
        <v>45873.489583333343</v>
      </c>
      <c r="B45" t="s">
        <v>38</v>
      </c>
      <c r="C45" t="s">
        <v>36</v>
      </c>
      <c r="D45">
        <v>14</v>
      </c>
      <c r="E45">
        <v>18</v>
      </c>
      <c r="F45">
        <f t="shared" si="0"/>
        <v>-4</v>
      </c>
      <c r="G45">
        <v>7.5</v>
      </c>
      <c r="H45">
        <v>2</v>
      </c>
      <c r="I45">
        <v>1.714</v>
      </c>
      <c r="J45">
        <v>0.73599999999999999</v>
      </c>
      <c r="L45">
        <f t="shared" si="1"/>
        <v>0.47199999999999998</v>
      </c>
      <c r="M45">
        <f t="shared" si="2"/>
        <v>1</v>
      </c>
      <c r="O45">
        <f t="shared" si="3"/>
        <v>0.26400000000000001</v>
      </c>
      <c r="P45">
        <f t="shared" si="4"/>
        <v>-0.54750399999999999</v>
      </c>
      <c r="Q45" t="str">
        <f t="shared" si="5"/>
        <v/>
      </c>
    </row>
    <row r="46" spans="1:17" x14ac:dyDescent="0.25">
      <c r="A46" s="2">
        <v>45873.583333333343</v>
      </c>
      <c r="B46" t="s">
        <v>39</v>
      </c>
      <c r="C46" t="s">
        <v>40</v>
      </c>
      <c r="D46">
        <v>15</v>
      </c>
      <c r="E46">
        <v>15</v>
      </c>
      <c r="F46">
        <f t="shared" si="0"/>
        <v>0</v>
      </c>
      <c r="G46">
        <v>-2.5</v>
      </c>
      <c r="H46">
        <v>1.833</v>
      </c>
      <c r="I46">
        <v>1.833</v>
      </c>
      <c r="J46">
        <v>0.45550000000000002</v>
      </c>
      <c r="L46">
        <f t="shared" si="1"/>
        <v>-0.16506849999999995</v>
      </c>
      <c r="M46" t="str">
        <f t="shared" si="2"/>
        <v/>
      </c>
      <c r="O46">
        <f t="shared" si="3"/>
        <v>0.54449999999999998</v>
      </c>
      <c r="P46">
        <f t="shared" si="4"/>
        <v>-1.9315000000000859E-3</v>
      </c>
      <c r="Q46" t="str">
        <f t="shared" si="5"/>
        <v/>
      </c>
    </row>
    <row r="47" spans="1:17" x14ac:dyDescent="0.25">
      <c r="A47" s="2">
        <v>45873.583333333343</v>
      </c>
      <c r="B47" t="s">
        <v>48</v>
      </c>
      <c r="C47" t="s">
        <v>43</v>
      </c>
      <c r="D47">
        <v>11</v>
      </c>
      <c r="E47">
        <v>20</v>
      </c>
      <c r="F47">
        <f t="shared" si="0"/>
        <v>-9</v>
      </c>
      <c r="G47">
        <v>8.5</v>
      </c>
      <c r="H47">
        <v>1.833</v>
      </c>
      <c r="I47">
        <v>1.833</v>
      </c>
      <c r="J47">
        <v>0.74350000000000005</v>
      </c>
      <c r="L47">
        <f t="shared" si="1"/>
        <v>0.36283550000000009</v>
      </c>
      <c r="M47">
        <f t="shared" si="2"/>
        <v>-1</v>
      </c>
      <c r="O47">
        <f t="shared" si="3"/>
        <v>0.25649999999999995</v>
      </c>
      <c r="P47">
        <f t="shared" si="4"/>
        <v>-0.52983550000000013</v>
      </c>
      <c r="Q47" t="str">
        <f t="shared" si="5"/>
        <v/>
      </c>
    </row>
    <row r="48" spans="1:17" x14ac:dyDescent="0.25">
      <c r="A48" s="2">
        <v>45873.677083333343</v>
      </c>
      <c r="B48" t="s">
        <v>45</v>
      </c>
      <c r="C48" t="s">
        <v>42</v>
      </c>
      <c r="D48">
        <v>14</v>
      </c>
      <c r="E48">
        <v>20</v>
      </c>
      <c r="F48">
        <f t="shared" si="0"/>
        <v>-6</v>
      </c>
      <c r="G48">
        <v>2.5</v>
      </c>
      <c r="H48">
        <v>1.8</v>
      </c>
      <c r="I48">
        <v>1.869</v>
      </c>
      <c r="J48">
        <v>0.54500000000000004</v>
      </c>
      <c r="L48">
        <f t="shared" si="1"/>
        <v>-1.8999999999999906E-2</v>
      </c>
      <c r="M48" t="str">
        <f t="shared" si="2"/>
        <v/>
      </c>
      <c r="O48">
        <f t="shared" si="3"/>
        <v>0.45499999999999996</v>
      </c>
      <c r="P48">
        <f t="shared" si="4"/>
        <v>-0.1496050000000001</v>
      </c>
      <c r="Q48" t="str">
        <f t="shared" si="5"/>
        <v/>
      </c>
    </row>
    <row r="49" spans="1:17" x14ac:dyDescent="0.25">
      <c r="A49" s="2">
        <v>45873.770833333343</v>
      </c>
      <c r="B49" t="s">
        <v>46</v>
      </c>
      <c r="C49" t="s">
        <v>47</v>
      </c>
      <c r="D49">
        <v>24</v>
      </c>
      <c r="E49">
        <v>16</v>
      </c>
      <c r="F49">
        <f t="shared" si="0"/>
        <v>8</v>
      </c>
      <c r="G49">
        <v>-9.5</v>
      </c>
      <c r="H49">
        <v>1.714</v>
      </c>
      <c r="I49">
        <v>2</v>
      </c>
      <c r="J49">
        <v>0.249</v>
      </c>
      <c r="L49">
        <f t="shared" si="1"/>
        <v>-0.573214</v>
      </c>
      <c r="M49" t="str">
        <f t="shared" si="2"/>
        <v/>
      </c>
      <c r="O49">
        <f t="shared" si="3"/>
        <v>0.751</v>
      </c>
      <c r="P49">
        <f t="shared" si="4"/>
        <v>0.502</v>
      </c>
      <c r="Q49">
        <f t="shared" si="5"/>
        <v>1</v>
      </c>
    </row>
    <row r="59" spans="1:17" x14ac:dyDescent="0.25">
      <c r="L59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tabSelected="1" topLeftCell="K1" workbookViewId="0">
      <selection activeCell="Z7" sqref="Z7"/>
    </sheetView>
  </sheetViews>
  <sheetFormatPr defaultRowHeight="15" x14ac:dyDescent="0.25"/>
  <cols>
    <col min="27" max="27" width="29.71093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>
        <v>45867.375</v>
      </c>
      <c r="B2" t="s">
        <v>27</v>
      </c>
      <c r="C2" t="s">
        <v>28</v>
      </c>
      <c r="D2">
        <v>24</v>
      </c>
      <c r="E2">
        <v>24</v>
      </c>
      <c r="F2">
        <v>76</v>
      </c>
      <c r="G2">
        <v>79</v>
      </c>
      <c r="H2">
        <v>20.5</v>
      </c>
      <c r="I2">
        <v>1.833</v>
      </c>
      <c r="J2">
        <v>1.833</v>
      </c>
      <c r="K2">
        <v>150.5</v>
      </c>
      <c r="L2">
        <v>1.833</v>
      </c>
      <c r="M2">
        <v>1.833</v>
      </c>
      <c r="N2">
        <v>5.5</v>
      </c>
      <c r="O2">
        <v>1.909</v>
      </c>
      <c r="P2">
        <v>1.7689999999999999</v>
      </c>
      <c r="Q2">
        <v>0.23400000000000001</v>
      </c>
      <c r="R2">
        <v>67.644999999999996</v>
      </c>
      <c r="S2">
        <v>82.127250000000004</v>
      </c>
      <c r="T2">
        <v>149.77225000000001</v>
      </c>
      <c r="U2">
        <v>-14.482250000000001</v>
      </c>
      <c r="V2">
        <v>67</v>
      </c>
      <c r="W2">
        <v>81</v>
      </c>
      <c r="X2">
        <v>149</v>
      </c>
      <c r="Y2">
        <v>0.61824999999999997</v>
      </c>
      <c r="Z2">
        <v>0.47849999999999998</v>
      </c>
      <c r="AA2">
        <v>0.58599999999999997</v>
      </c>
    </row>
    <row r="3" spans="1:27" x14ac:dyDescent="0.25">
      <c r="A3" s="2">
        <v>45867.46875</v>
      </c>
      <c r="B3" t="s">
        <v>29</v>
      </c>
      <c r="C3" t="s">
        <v>30</v>
      </c>
      <c r="D3">
        <v>23</v>
      </c>
      <c r="E3">
        <v>16</v>
      </c>
      <c r="F3">
        <v>101</v>
      </c>
      <c r="G3">
        <v>71</v>
      </c>
      <c r="H3">
        <v>-21.5</v>
      </c>
      <c r="I3">
        <v>1.869</v>
      </c>
      <c r="J3">
        <v>1.8</v>
      </c>
      <c r="K3">
        <v>143.5</v>
      </c>
      <c r="L3">
        <v>1.833</v>
      </c>
      <c r="M3">
        <v>1.833</v>
      </c>
      <c r="N3">
        <v>-5.5</v>
      </c>
      <c r="O3">
        <v>1.7689999999999999</v>
      </c>
      <c r="P3">
        <v>1.909</v>
      </c>
      <c r="Q3">
        <v>0.83725000000000005</v>
      </c>
      <c r="R3">
        <v>83.284000000000006</v>
      </c>
      <c r="S3">
        <v>62.684750000000001</v>
      </c>
      <c r="T3">
        <v>145.96875</v>
      </c>
      <c r="U3">
        <v>20.599250000000001</v>
      </c>
      <c r="V3">
        <v>83</v>
      </c>
      <c r="W3">
        <v>62</v>
      </c>
      <c r="X3">
        <v>145</v>
      </c>
      <c r="Y3">
        <v>0.49399999999999999</v>
      </c>
      <c r="Z3">
        <v>0.52975000000000005</v>
      </c>
      <c r="AA3">
        <v>0.48525000000000001</v>
      </c>
    </row>
    <row r="4" spans="1:27" x14ac:dyDescent="0.25">
      <c r="A4" s="2">
        <v>45867.583333333343</v>
      </c>
      <c r="B4" t="s">
        <v>31</v>
      </c>
      <c r="C4" t="s">
        <v>32</v>
      </c>
      <c r="D4">
        <v>22</v>
      </c>
      <c r="E4">
        <v>25</v>
      </c>
      <c r="F4">
        <v>74</v>
      </c>
      <c r="G4">
        <v>87</v>
      </c>
      <c r="H4">
        <v>4.5</v>
      </c>
      <c r="I4">
        <v>1.869</v>
      </c>
      <c r="J4">
        <v>1.8</v>
      </c>
      <c r="K4">
        <v>135.5</v>
      </c>
      <c r="L4">
        <v>1.833</v>
      </c>
      <c r="M4">
        <v>1.833</v>
      </c>
      <c r="N4">
        <v>1.5</v>
      </c>
      <c r="O4">
        <v>1.833</v>
      </c>
      <c r="P4">
        <v>1.833</v>
      </c>
      <c r="Q4">
        <v>0.42599999999999999</v>
      </c>
      <c r="R4">
        <v>68.223749999999995</v>
      </c>
      <c r="S4">
        <v>71.417249999999996</v>
      </c>
      <c r="T4">
        <v>139.64099999999999</v>
      </c>
      <c r="U4">
        <v>-3.1934999999999998</v>
      </c>
      <c r="V4">
        <v>67</v>
      </c>
      <c r="W4">
        <v>71</v>
      </c>
      <c r="X4">
        <v>139</v>
      </c>
      <c r="Y4">
        <v>0.52400000000000002</v>
      </c>
      <c r="Z4">
        <v>0.56874999999999998</v>
      </c>
      <c r="AA4">
        <v>0.53225</v>
      </c>
    </row>
    <row r="5" spans="1:27" x14ac:dyDescent="0.25">
      <c r="A5" s="2">
        <v>45867.677083333343</v>
      </c>
      <c r="B5" t="s">
        <v>33</v>
      </c>
      <c r="C5" t="s">
        <v>34</v>
      </c>
      <c r="D5">
        <v>24</v>
      </c>
      <c r="E5">
        <v>21</v>
      </c>
      <c r="F5">
        <v>110</v>
      </c>
      <c r="G5">
        <v>59</v>
      </c>
      <c r="H5">
        <v>-39.5</v>
      </c>
      <c r="I5">
        <v>1.833</v>
      </c>
      <c r="J5">
        <v>1.833</v>
      </c>
      <c r="K5">
        <v>128.5</v>
      </c>
      <c r="L5">
        <v>1.8</v>
      </c>
      <c r="M5">
        <v>1.869</v>
      </c>
      <c r="N5">
        <v>-11.5</v>
      </c>
      <c r="O5">
        <v>1.833</v>
      </c>
      <c r="P5">
        <v>1.833</v>
      </c>
      <c r="Q5">
        <v>0.86350000000000005</v>
      </c>
      <c r="R5">
        <v>75.03125</v>
      </c>
      <c r="S5">
        <v>54.484250000000003</v>
      </c>
      <c r="T5">
        <v>129.5155</v>
      </c>
      <c r="U5">
        <v>20.547000000000001</v>
      </c>
      <c r="V5">
        <v>75</v>
      </c>
      <c r="W5">
        <v>54</v>
      </c>
      <c r="X5">
        <v>129</v>
      </c>
      <c r="Y5">
        <v>0.14874999999999999</v>
      </c>
      <c r="Z5">
        <v>0.51924999999999999</v>
      </c>
      <c r="AA5">
        <v>0.23749999999999999</v>
      </c>
    </row>
    <row r="6" spans="1:27" x14ac:dyDescent="0.25">
      <c r="A6" s="2">
        <v>45868.375</v>
      </c>
      <c r="B6" t="s">
        <v>35</v>
      </c>
      <c r="C6" t="s">
        <v>27</v>
      </c>
      <c r="D6">
        <v>21</v>
      </c>
      <c r="E6">
        <v>7</v>
      </c>
      <c r="F6">
        <v>76</v>
      </c>
      <c r="G6">
        <v>55</v>
      </c>
      <c r="H6">
        <v>-29.5</v>
      </c>
      <c r="I6">
        <v>1.833</v>
      </c>
      <c r="J6">
        <v>1.833</v>
      </c>
      <c r="K6">
        <v>153.5</v>
      </c>
      <c r="L6">
        <v>1.833</v>
      </c>
      <c r="M6">
        <v>1.833</v>
      </c>
      <c r="Q6">
        <v>0.82899999999999996</v>
      </c>
      <c r="R6">
        <v>86.433499999999995</v>
      </c>
      <c r="S6">
        <v>66.019000000000005</v>
      </c>
      <c r="T6">
        <v>152.45249999999999</v>
      </c>
      <c r="U6">
        <v>20.4145</v>
      </c>
      <c r="V6">
        <v>85</v>
      </c>
      <c r="W6">
        <v>65</v>
      </c>
      <c r="X6">
        <v>152</v>
      </c>
      <c r="Y6">
        <v>0.32474999999999998</v>
      </c>
      <c r="Z6">
        <v>0.46274999999999999</v>
      </c>
    </row>
    <row r="7" spans="1:27" x14ac:dyDescent="0.25">
      <c r="A7" s="2">
        <v>45868.395833333343</v>
      </c>
      <c r="B7" t="s">
        <v>36</v>
      </c>
      <c r="C7" t="s">
        <v>37</v>
      </c>
      <c r="D7">
        <v>17</v>
      </c>
      <c r="E7">
        <v>14</v>
      </c>
      <c r="F7">
        <v>63</v>
      </c>
      <c r="G7">
        <v>70</v>
      </c>
      <c r="H7">
        <v>-12.5</v>
      </c>
      <c r="I7">
        <v>1.833</v>
      </c>
      <c r="J7">
        <v>1.833</v>
      </c>
      <c r="K7">
        <v>137.5</v>
      </c>
      <c r="L7">
        <v>1.833</v>
      </c>
      <c r="M7">
        <v>1.833</v>
      </c>
      <c r="N7">
        <v>-3.5</v>
      </c>
      <c r="O7">
        <v>1.833</v>
      </c>
      <c r="P7">
        <v>1.833</v>
      </c>
      <c r="Q7">
        <v>0.60450000000000004</v>
      </c>
      <c r="R7">
        <v>68.667749999999998</v>
      </c>
      <c r="S7">
        <v>63.405999999999999</v>
      </c>
      <c r="T7">
        <v>132.07374999999999</v>
      </c>
      <c r="U7">
        <v>5.2617500000000001</v>
      </c>
      <c r="V7">
        <v>68</v>
      </c>
      <c r="W7">
        <v>63</v>
      </c>
      <c r="X7">
        <v>132</v>
      </c>
      <c r="Y7">
        <v>0.34875</v>
      </c>
      <c r="Z7">
        <v>0.38224999999999998</v>
      </c>
      <c r="AA7">
        <v>0.39650000000000002</v>
      </c>
    </row>
    <row r="8" spans="1:27" x14ac:dyDescent="0.25">
      <c r="A8" s="2">
        <v>45868.46875</v>
      </c>
      <c r="B8" t="s">
        <v>28</v>
      </c>
      <c r="C8" t="s">
        <v>29</v>
      </c>
      <c r="D8">
        <v>25</v>
      </c>
      <c r="E8">
        <v>32</v>
      </c>
      <c r="F8">
        <v>99</v>
      </c>
      <c r="G8">
        <v>101</v>
      </c>
      <c r="H8">
        <v>8.5</v>
      </c>
      <c r="I8">
        <v>1.833</v>
      </c>
      <c r="J8">
        <v>1.833</v>
      </c>
      <c r="K8">
        <v>160.5</v>
      </c>
      <c r="L8">
        <v>1.833</v>
      </c>
      <c r="M8">
        <v>1.833</v>
      </c>
      <c r="N8">
        <v>2.5</v>
      </c>
      <c r="O8">
        <v>1.833</v>
      </c>
      <c r="P8">
        <v>1.833</v>
      </c>
      <c r="Q8">
        <v>0.40925</v>
      </c>
      <c r="R8">
        <v>74.583250000000007</v>
      </c>
      <c r="S8">
        <v>78.814999999999998</v>
      </c>
      <c r="T8">
        <v>153.39824999999999</v>
      </c>
      <c r="U8">
        <v>-4.2317499999999999</v>
      </c>
      <c r="V8">
        <v>74</v>
      </c>
      <c r="W8">
        <v>78</v>
      </c>
      <c r="X8">
        <v>153</v>
      </c>
      <c r="Y8">
        <v>0.58350000000000002</v>
      </c>
      <c r="Z8">
        <v>0.36675000000000002</v>
      </c>
      <c r="AA8">
        <v>0.56950000000000001</v>
      </c>
    </row>
    <row r="9" spans="1:27" x14ac:dyDescent="0.25">
      <c r="A9" s="2">
        <v>45868.489583333343</v>
      </c>
      <c r="B9" t="s">
        <v>38</v>
      </c>
      <c r="C9" t="s">
        <v>39</v>
      </c>
      <c r="D9">
        <v>13</v>
      </c>
      <c r="E9">
        <v>38</v>
      </c>
      <c r="F9">
        <v>55</v>
      </c>
      <c r="G9">
        <v>116</v>
      </c>
      <c r="H9">
        <v>25.5</v>
      </c>
      <c r="I9">
        <v>1.833</v>
      </c>
      <c r="J9">
        <v>1.833</v>
      </c>
      <c r="K9">
        <v>152.5</v>
      </c>
      <c r="L9">
        <v>1.833</v>
      </c>
      <c r="M9">
        <v>1.833</v>
      </c>
      <c r="N9">
        <v>9.5</v>
      </c>
      <c r="O9">
        <v>1.833</v>
      </c>
      <c r="P9">
        <v>1.833</v>
      </c>
      <c r="Q9">
        <v>0.22575000000000001</v>
      </c>
      <c r="R9">
        <v>66.948499999999996</v>
      </c>
      <c r="S9">
        <v>81.921999999999997</v>
      </c>
      <c r="T9">
        <v>148.87049999999999</v>
      </c>
      <c r="U9">
        <v>-14.9735</v>
      </c>
      <c r="V9">
        <v>66</v>
      </c>
      <c r="W9">
        <v>81</v>
      </c>
      <c r="X9">
        <v>148</v>
      </c>
      <c r="Y9">
        <v>0.69899999999999995</v>
      </c>
      <c r="Z9">
        <v>0.41675000000000001</v>
      </c>
      <c r="AA9">
        <v>0.72950000000000004</v>
      </c>
    </row>
    <row r="10" spans="1:27" x14ac:dyDescent="0.25">
      <c r="A10" s="2">
        <v>45868.583333333343</v>
      </c>
      <c r="B10" t="s">
        <v>40</v>
      </c>
      <c r="C10" t="s">
        <v>41</v>
      </c>
      <c r="D10">
        <v>27</v>
      </c>
      <c r="E10">
        <v>15</v>
      </c>
      <c r="F10">
        <v>84</v>
      </c>
      <c r="G10">
        <v>64</v>
      </c>
      <c r="H10">
        <v>-25.5</v>
      </c>
      <c r="I10">
        <v>1.7689999999999999</v>
      </c>
      <c r="J10">
        <v>1.909</v>
      </c>
      <c r="K10">
        <v>149.5</v>
      </c>
      <c r="L10">
        <v>1.833</v>
      </c>
      <c r="M10">
        <v>1.833</v>
      </c>
      <c r="N10">
        <v>-7.5</v>
      </c>
      <c r="O10">
        <v>1.8</v>
      </c>
      <c r="P10">
        <v>1.869</v>
      </c>
      <c r="Q10">
        <v>0.64300000000000002</v>
      </c>
      <c r="R10">
        <v>78.456500000000005</v>
      </c>
      <c r="S10">
        <v>70.503</v>
      </c>
      <c r="T10">
        <v>148.95949999999999</v>
      </c>
      <c r="U10">
        <v>7.9535</v>
      </c>
      <c r="V10">
        <v>78</v>
      </c>
      <c r="W10">
        <v>70</v>
      </c>
      <c r="X10">
        <v>148</v>
      </c>
      <c r="Y10">
        <v>0.19475000000000001</v>
      </c>
      <c r="Z10">
        <v>0.47349999999999998</v>
      </c>
      <c r="AA10">
        <v>0.28999999999999998</v>
      </c>
    </row>
    <row r="11" spans="1:27" x14ac:dyDescent="0.25">
      <c r="A11" s="2">
        <v>45868.583333333343</v>
      </c>
      <c r="B11" t="s">
        <v>42</v>
      </c>
      <c r="C11" t="s">
        <v>43</v>
      </c>
      <c r="D11">
        <v>21</v>
      </c>
      <c r="E11">
        <v>23</v>
      </c>
      <c r="F11">
        <v>72</v>
      </c>
      <c r="G11">
        <v>73</v>
      </c>
      <c r="H11">
        <v>-16.5</v>
      </c>
      <c r="I11">
        <v>1.833</v>
      </c>
      <c r="J11">
        <v>1.833</v>
      </c>
      <c r="K11">
        <v>146.5</v>
      </c>
      <c r="L11">
        <v>1.833</v>
      </c>
      <c r="M11">
        <v>1.833</v>
      </c>
      <c r="N11">
        <v>-4.5</v>
      </c>
      <c r="O11">
        <v>1.8</v>
      </c>
      <c r="P11">
        <v>1.869</v>
      </c>
      <c r="Q11">
        <v>0.64175000000000004</v>
      </c>
      <c r="R11">
        <v>73.611249999999998</v>
      </c>
      <c r="S11">
        <v>65.601500000000001</v>
      </c>
      <c r="T11">
        <v>139.21275</v>
      </c>
      <c r="U11">
        <v>8.0097500000000004</v>
      </c>
      <c r="V11">
        <v>73</v>
      </c>
      <c r="W11">
        <v>65</v>
      </c>
      <c r="X11">
        <v>138</v>
      </c>
      <c r="Y11">
        <v>0.33724999999999999</v>
      </c>
      <c r="Z11">
        <v>0.35675000000000001</v>
      </c>
      <c r="AA11">
        <v>0.4</v>
      </c>
    </row>
    <row r="12" spans="1:27" x14ac:dyDescent="0.25">
      <c r="A12" s="2">
        <v>45868.625</v>
      </c>
      <c r="B12" t="s">
        <v>44</v>
      </c>
      <c r="C12" t="s">
        <v>31</v>
      </c>
      <c r="D12">
        <v>20</v>
      </c>
      <c r="E12">
        <v>12</v>
      </c>
      <c r="F12">
        <v>70</v>
      </c>
      <c r="G12">
        <v>66</v>
      </c>
      <c r="H12">
        <v>-7.5</v>
      </c>
      <c r="I12">
        <v>1.833</v>
      </c>
      <c r="J12">
        <v>1.833</v>
      </c>
      <c r="K12">
        <v>138.5</v>
      </c>
      <c r="L12">
        <v>1.833</v>
      </c>
      <c r="M12">
        <v>1.833</v>
      </c>
      <c r="N12">
        <v>-1.5</v>
      </c>
      <c r="O12">
        <v>1.714</v>
      </c>
      <c r="P12">
        <v>2</v>
      </c>
      <c r="Q12">
        <v>0.50600000000000001</v>
      </c>
      <c r="R12">
        <v>69.277749999999997</v>
      </c>
      <c r="S12">
        <v>68.201499999999996</v>
      </c>
      <c r="T12">
        <v>137.47925000000001</v>
      </c>
      <c r="U12">
        <v>1.0762499999999999</v>
      </c>
      <c r="V12">
        <v>68</v>
      </c>
      <c r="W12">
        <v>68</v>
      </c>
      <c r="X12">
        <v>137</v>
      </c>
      <c r="Y12">
        <v>0.37774999999999997</v>
      </c>
      <c r="Z12">
        <v>0.46600000000000003</v>
      </c>
      <c r="AA12">
        <v>0.45374999999999999</v>
      </c>
    </row>
    <row r="13" spans="1:27" x14ac:dyDescent="0.25">
      <c r="A13" s="2">
        <v>45868.677083333343</v>
      </c>
      <c r="B13" t="s">
        <v>45</v>
      </c>
      <c r="C13" t="s">
        <v>46</v>
      </c>
      <c r="D13">
        <v>7</v>
      </c>
      <c r="E13">
        <v>32</v>
      </c>
      <c r="F13">
        <v>49</v>
      </c>
      <c r="G13">
        <v>91</v>
      </c>
      <c r="H13">
        <v>17.5</v>
      </c>
      <c r="I13">
        <v>1.833</v>
      </c>
      <c r="J13">
        <v>1.833</v>
      </c>
      <c r="K13">
        <v>132.5</v>
      </c>
      <c r="L13">
        <v>1.833</v>
      </c>
      <c r="M13">
        <v>1.833</v>
      </c>
      <c r="N13">
        <v>4.5</v>
      </c>
      <c r="O13">
        <v>1.909</v>
      </c>
      <c r="P13">
        <v>1.7689999999999999</v>
      </c>
      <c r="Q13">
        <v>0.28499999999999998</v>
      </c>
      <c r="R13">
        <v>60.865250000000003</v>
      </c>
      <c r="S13">
        <v>71.396500000000003</v>
      </c>
      <c r="T13">
        <v>132.26175000000001</v>
      </c>
      <c r="U13">
        <v>-10.53125</v>
      </c>
      <c r="V13">
        <v>60</v>
      </c>
      <c r="W13">
        <v>71</v>
      </c>
      <c r="X13">
        <v>132</v>
      </c>
      <c r="Y13">
        <v>0.63975000000000004</v>
      </c>
      <c r="Z13">
        <v>0.48349999999999999</v>
      </c>
      <c r="AA13">
        <v>0.58025000000000004</v>
      </c>
    </row>
    <row r="14" spans="1:27" x14ac:dyDescent="0.25">
      <c r="A14" s="2">
        <v>45868.71875</v>
      </c>
      <c r="B14" t="s">
        <v>32</v>
      </c>
      <c r="C14" t="s">
        <v>33</v>
      </c>
      <c r="D14">
        <v>9</v>
      </c>
      <c r="E14">
        <v>22</v>
      </c>
      <c r="F14">
        <v>59</v>
      </c>
      <c r="G14">
        <v>85</v>
      </c>
      <c r="H14">
        <v>9.5</v>
      </c>
      <c r="I14">
        <v>1.833</v>
      </c>
      <c r="J14">
        <v>1.833</v>
      </c>
      <c r="K14">
        <v>143.5</v>
      </c>
      <c r="L14">
        <v>1.833</v>
      </c>
      <c r="M14">
        <v>1.833</v>
      </c>
      <c r="N14">
        <v>2.5</v>
      </c>
      <c r="O14">
        <v>1.833</v>
      </c>
      <c r="P14">
        <v>1.833</v>
      </c>
      <c r="Q14">
        <v>0.46725</v>
      </c>
      <c r="R14">
        <v>71.962000000000003</v>
      </c>
      <c r="S14">
        <v>73.242249999999999</v>
      </c>
      <c r="T14">
        <v>145.20425</v>
      </c>
      <c r="U14">
        <v>-1.2802500000000001</v>
      </c>
      <c r="V14">
        <v>71</v>
      </c>
      <c r="W14">
        <v>72</v>
      </c>
      <c r="X14">
        <v>144</v>
      </c>
      <c r="Y14">
        <v>0.64849999999999997</v>
      </c>
      <c r="Z14">
        <v>0.51775000000000004</v>
      </c>
      <c r="AA14">
        <v>0.58899999999999997</v>
      </c>
    </row>
    <row r="15" spans="1:27" x14ac:dyDescent="0.25">
      <c r="A15" s="2">
        <v>45868.770833333343</v>
      </c>
      <c r="B15" t="s">
        <v>47</v>
      </c>
      <c r="C15" t="s">
        <v>48</v>
      </c>
      <c r="D15">
        <v>17</v>
      </c>
      <c r="E15">
        <v>18</v>
      </c>
      <c r="F15">
        <v>77</v>
      </c>
      <c r="G15">
        <v>76</v>
      </c>
      <c r="H15">
        <v>-5.5</v>
      </c>
      <c r="I15">
        <v>1.833</v>
      </c>
      <c r="J15">
        <v>1.833</v>
      </c>
      <c r="K15">
        <v>129.5</v>
      </c>
      <c r="L15">
        <v>1.833</v>
      </c>
      <c r="M15">
        <v>1.833</v>
      </c>
      <c r="N15">
        <v>-1.5</v>
      </c>
      <c r="O15">
        <v>1.833</v>
      </c>
      <c r="P15">
        <v>1.833</v>
      </c>
      <c r="Q15">
        <v>0.64800000000000002</v>
      </c>
      <c r="R15">
        <v>70.634749999999997</v>
      </c>
      <c r="S15">
        <v>62.522500000000001</v>
      </c>
      <c r="T15">
        <v>133.15725</v>
      </c>
      <c r="U15">
        <v>8.1122499999999995</v>
      </c>
      <c r="V15">
        <v>70</v>
      </c>
      <c r="W15">
        <v>62</v>
      </c>
      <c r="X15">
        <v>133</v>
      </c>
      <c r="Y15">
        <v>0.54700000000000004</v>
      </c>
      <c r="Z15">
        <v>0.5595</v>
      </c>
      <c r="AA15">
        <v>0.51324999999999998</v>
      </c>
    </row>
    <row r="16" spans="1:27" x14ac:dyDescent="0.25">
      <c r="A16" s="2">
        <v>45869.375</v>
      </c>
      <c r="B16" t="s">
        <v>30</v>
      </c>
      <c r="C16" t="s">
        <v>35</v>
      </c>
      <c r="D16">
        <v>21</v>
      </c>
      <c r="E16">
        <v>23</v>
      </c>
      <c r="F16">
        <v>82</v>
      </c>
      <c r="G16">
        <v>97</v>
      </c>
      <c r="H16">
        <v>31.5</v>
      </c>
      <c r="I16">
        <v>1.909</v>
      </c>
      <c r="J16">
        <v>1.7689999999999999</v>
      </c>
      <c r="K16">
        <v>153.5</v>
      </c>
      <c r="L16">
        <v>1.833</v>
      </c>
      <c r="M16">
        <v>1.833</v>
      </c>
      <c r="N16">
        <v>9.5</v>
      </c>
      <c r="O16">
        <v>1.833</v>
      </c>
      <c r="P16">
        <v>1.833</v>
      </c>
      <c r="Q16">
        <v>0.104</v>
      </c>
      <c r="R16">
        <v>64.436750000000004</v>
      </c>
      <c r="S16">
        <v>90.232500000000002</v>
      </c>
      <c r="T16">
        <v>154.66925000000001</v>
      </c>
      <c r="U16">
        <v>-25.795750000000002</v>
      </c>
      <c r="V16">
        <v>64</v>
      </c>
      <c r="W16">
        <v>90</v>
      </c>
      <c r="X16">
        <v>154</v>
      </c>
      <c r="Y16">
        <v>0.61550000000000005</v>
      </c>
      <c r="Z16">
        <v>0.51149999999999995</v>
      </c>
      <c r="AA16">
        <v>0.62549999999999994</v>
      </c>
    </row>
    <row r="17" spans="1:27" x14ac:dyDescent="0.25">
      <c r="A17" s="2">
        <v>45869.395833333343</v>
      </c>
      <c r="B17" t="s">
        <v>39</v>
      </c>
      <c r="C17" t="s">
        <v>36</v>
      </c>
      <c r="D17">
        <v>19</v>
      </c>
      <c r="E17">
        <v>15</v>
      </c>
      <c r="F17">
        <v>78</v>
      </c>
      <c r="G17">
        <v>46</v>
      </c>
      <c r="H17">
        <v>-16.5</v>
      </c>
      <c r="I17">
        <v>1.869</v>
      </c>
      <c r="J17">
        <v>1.8</v>
      </c>
      <c r="K17">
        <v>148.5</v>
      </c>
      <c r="L17">
        <v>1.833</v>
      </c>
      <c r="M17">
        <v>1.833</v>
      </c>
      <c r="N17">
        <v>-4.5</v>
      </c>
      <c r="O17">
        <v>1.833</v>
      </c>
      <c r="P17">
        <v>1.833</v>
      </c>
      <c r="Q17">
        <v>0.63075000000000003</v>
      </c>
      <c r="R17">
        <v>74.717250000000007</v>
      </c>
      <c r="S17">
        <v>67.89</v>
      </c>
      <c r="T17">
        <v>142.60724999999999</v>
      </c>
      <c r="U17">
        <v>6.8272500000000003</v>
      </c>
      <c r="V17">
        <v>74</v>
      </c>
      <c r="W17">
        <v>67</v>
      </c>
      <c r="X17">
        <v>142</v>
      </c>
      <c r="Y17">
        <v>0.31075000000000003</v>
      </c>
      <c r="Z17">
        <v>0.37</v>
      </c>
      <c r="AA17">
        <v>0.38300000000000001</v>
      </c>
    </row>
    <row r="18" spans="1:27" x14ac:dyDescent="0.25">
      <c r="A18" s="2">
        <v>45869.46875</v>
      </c>
      <c r="B18" t="s">
        <v>27</v>
      </c>
      <c r="C18" t="s">
        <v>29</v>
      </c>
      <c r="D18">
        <v>15</v>
      </c>
      <c r="E18">
        <v>25</v>
      </c>
      <c r="F18">
        <v>62</v>
      </c>
      <c r="G18">
        <v>77</v>
      </c>
      <c r="H18">
        <v>19</v>
      </c>
      <c r="I18">
        <v>1.833</v>
      </c>
      <c r="J18">
        <v>1.833</v>
      </c>
      <c r="K18">
        <v>147.5</v>
      </c>
      <c r="L18">
        <v>1.833</v>
      </c>
      <c r="M18">
        <v>1.833</v>
      </c>
      <c r="N18">
        <v>6.5</v>
      </c>
      <c r="O18">
        <v>1.833</v>
      </c>
      <c r="P18">
        <v>1.833</v>
      </c>
      <c r="Q18">
        <v>0.19825000000000001</v>
      </c>
      <c r="R18">
        <v>62.775500000000001</v>
      </c>
      <c r="S18">
        <v>79.248750000000001</v>
      </c>
      <c r="T18">
        <v>142.02424999999999</v>
      </c>
      <c r="U18">
        <v>-16.47325</v>
      </c>
      <c r="V18">
        <v>62</v>
      </c>
      <c r="W18">
        <v>79</v>
      </c>
      <c r="X18">
        <v>142</v>
      </c>
      <c r="Y18">
        <v>0.54825000000000002</v>
      </c>
      <c r="Z18">
        <v>0.38574999999999998</v>
      </c>
      <c r="AA18">
        <v>0.622</v>
      </c>
    </row>
    <row r="19" spans="1:27" x14ac:dyDescent="0.25">
      <c r="A19" s="2">
        <v>45869.583333333343</v>
      </c>
      <c r="B19" t="s">
        <v>46</v>
      </c>
      <c r="C19" t="s">
        <v>42</v>
      </c>
      <c r="D19">
        <v>23</v>
      </c>
      <c r="E19">
        <v>14</v>
      </c>
      <c r="F19">
        <v>70</v>
      </c>
      <c r="G19">
        <v>49</v>
      </c>
      <c r="H19">
        <v>-14.5</v>
      </c>
      <c r="I19">
        <v>1.833</v>
      </c>
      <c r="J19">
        <v>1.833</v>
      </c>
      <c r="K19">
        <v>135.5</v>
      </c>
      <c r="L19">
        <v>1.833</v>
      </c>
      <c r="M19">
        <v>1.833</v>
      </c>
      <c r="N19">
        <v>-3.5</v>
      </c>
      <c r="O19">
        <v>1.7689999999999999</v>
      </c>
      <c r="P19">
        <v>1.909</v>
      </c>
      <c r="Q19">
        <v>0.57625000000000004</v>
      </c>
      <c r="R19">
        <v>68.350750000000005</v>
      </c>
      <c r="S19">
        <v>64.114999999999995</v>
      </c>
      <c r="T19">
        <v>132.46575000000001</v>
      </c>
      <c r="U19">
        <v>4.2357500000000003</v>
      </c>
      <c r="V19">
        <v>68</v>
      </c>
      <c r="W19">
        <v>63</v>
      </c>
      <c r="X19">
        <v>132</v>
      </c>
      <c r="Y19">
        <v>0.30049999999999999</v>
      </c>
      <c r="Z19">
        <v>0.42725000000000002</v>
      </c>
      <c r="AA19">
        <v>0.38750000000000001</v>
      </c>
    </row>
    <row r="20" spans="1:27" x14ac:dyDescent="0.25">
      <c r="A20" s="2">
        <v>45869.625</v>
      </c>
      <c r="B20" t="s">
        <v>31</v>
      </c>
      <c r="C20" t="s">
        <v>34</v>
      </c>
      <c r="D20">
        <v>20</v>
      </c>
      <c r="E20">
        <v>18</v>
      </c>
      <c r="F20">
        <v>88</v>
      </c>
      <c r="G20">
        <v>58</v>
      </c>
      <c r="H20">
        <v>-35.5</v>
      </c>
      <c r="I20">
        <v>1.833</v>
      </c>
      <c r="J20">
        <v>1.833</v>
      </c>
      <c r="K20">
        <v>130.5</v>
      </c>
      <c r="L20">
        <v>1.833</v>
      </c>
      <c r="M20">
        <v>1.833</v>
      </c>
      <c r="N20">
        <v>-10.5</v>
      </c>
      <c r="O20">
        <v>1.833</v>
      </c>
      <c r="P20">
        <v>1.833</v>
      </c>
      <c r="Q20">
        <v>0.80049999999999999</v>
      </c>
      <c r="R20">
        <v>70.219750000000005</v>
      </c>
      <c r="S20">
        <v>54.112499999999997</v>
      </c>
      <c r="T20">
        <v>124.33225</v>
      </c>
      <c r="U20">
        <v>16.107250000000001</v>
      </c>
      <c r="V20">
        <v>70</v>
      </c>
      <c r="W20">
        <v>54</v>
      </c>
      <c r="X20">
        <v>124</v>
      </c>
      <c r="Y20">
        <v>0.15125</v>
      </c>
      <c r="Z20">
        <v>0.36225000000000002</v>
      </c>
      <c r="AA20">
        <v>0.20874999999999999</v>
      </c>
    </row>
    <row r="21" spans="1:27" x14ac:dyDescent="0.25">
      <c r="A21" s="2">
        <v>45869.677083333343</v>
      </c>
      <c r="B21" t="s">
        <v>48</v>
      </c>
      <c r="C21" t="s">
        <v>45</v>
      </c>
      <c r="D21">
        <v>13</v>
      </c>
      <c r="E21">
        <v>26</v>
      </c>
      <c r="F21">
        <v>54</v>
      </c>
      <c r="G21">
        <v>97</v>
      </c>
      <c r="H21">
        <v>1.5</v>
      </c>
      <c r="I21">
        <v>1.833</v>
      </c>
      <c r="J21">
        <v>1.833</v>
      </c>
      <c r="K21">
        <v>130.5</v>
      </c>
      <c r="L21">
        <v>1.833</v>
      </c>
      <c r="M21">
        <v>1.833</v>
      </c>
      <c r="N21">
        <v>0.5</v>
      </c>
      <c r="O21">
        <v>1.833</v>
      </c>
      <c r="P21">
        <v>1.833</v>
      </c>
      <c r="Q21">
        <v>0.24224999999999999</v>
      </c>
      <c r="R21">
        <v>59.510249999999999</v>
      </c>
      <c r="S21">
        <v>72.179000000000002</v>
      </c>
      <c r="T21">
        <v>131.68924999999999</v>
      </c>
      <c r="U21">
        <v>-12.668749999999999</v>
      </c>
      <c r="V21">
        <v>59</v>
      </c>
      <c r="W21">
        <v>72</v>
      </c>
      <c r="X21">
        <v>131</v>
      </c>
      <c r="Y21">
        <v>0.27650000000000002</v>
      </c>
      <c r="Z21">
        <v>0.51224999999999998</v>
      </c>
      <c r="AA21">
        <v>0.38874999999999998</v>
      </c>
    </row>
    <row r="22" spans="1:27" x14ac:dyDescent="0.25">
      <c r="A22" s="2">
        <v>45869.71875</v>
      </c>
      <c r="B22" t="s">
        <v>32</v>
      </c>
      <c r="C22" t="s">
        <v>44</v>
      </c>
      <c r="D22">
        <v>26</v>
      </c>
      <c r="E22">
        <v>19</v>
      </c>
      <c r="F22">
        <v>78</v>
      </c>
      <c r="G22">
        <v>59</v>
      </c>
      <c r="H22">
        <v>7.5</v>
      </c>
      <c r="I22">
        <v>1.833</v>
      </c>
      <c r="J22">
        <v>1.833</v>
      </c>
      <c r="K22">
        <v>147.5</v>
      </c>
      <c r="L22">
        <v>1.833</v>
      </c>
      <c r="M22">
        <v>1.833</v>
      </c>
      <c r="N22">
        <v>1.5</v>
      </c>
      <c r="O22">
        <v>2</v>
      </c>
      <c r="P22">
        <v>1.714</v>
      </c>
      <c r="Q22">
        <v>0.52400000000000002</v>
      </c>
      <c r="R22">
        <v>72.020750000000007</v>
      </c>
      <c r="S22">
        <v>70.175749999999994</v>
      </c>
      <c r="T22">
        <v>142.19649999999999</v>
      </c>
      <c r="U22">
        <v>1.845</v>
      </c>
      <c r="V22">
        <v>72</v>
      </c>
      <c r="W22">
        <v>70</v>
      </c>
      <c r="X22">
        <v>142</v>
      </c>
      <c r="Y22">
        <v>0.67425000000000002</v>
      </c>
      <c r="Z22">
        <v>0.38750000000000001</v>
      </c>
      <c r="AA22">
        <v>0.58774999999999999</v>
      </c>
    </row>
    <row r="23" spans="1:27" x14ac:dyDescent="0.25">
      <c r="A23" s="2">
        <v>45869.802083333343</v>
      </c>
      <c r="B23" t="s">
        <v>43</v>
      </c>
      <c r="C23" t="s">
        <v>47</v>
      </c>
      <c r="D23">
        <v>18</v>
      </c>
      <c r="E23">
        <v>18</v>
      </c>
      <c r="F23">
        <v>83</v>
      </c>
      <c r="G23">
        <v>71</v>
      </c>
      <c r="H23">
        <v>-1.5</v>
      </c>
      <c r="I23">
        <v>1.714</v>
      </c>
      <c r="J23">
        <v>2</v>
      </c>
      <c r="K23">
        <v>138.5</v>
      </c>
      <c r="L23">
        <v>1.833</v>
      </c>
      <c r="M23">
        <v>1.833</v>
      </c>
      <c r="N23">
        <v>-0.5</v>
      </c>
      <c r="O23">
        <v>1.8</v>
      </c>
      <c r="P23">
        <v>1.869</v>
      </c>
      <c r="Q23">
        <v>0.57399999999999995</v>
      </c>
      <c r="R23">
        <v>71.632000000000005</v>
      </c>
      <c r="S23">
        <v>67.758750000000006</v>
      </c>
      <c r="T23">
        <v>139.39075</v>
      </c>
      <c r="U23">
        <v>3.8732500000000001</v>
      </c>
      <c r="V23">
        <v>71</v>
      </c>
      <c r="W23">
        <v>67</v>
      </c>
      <c r="X23">
        <v>139</v>
      </c>
      <c r="Y23">
        <v>0.55800000000000005</v>
      </c>
      <c r="Z23">
        <v>0.50724999999999998</v>
      </c>
      <c r="AA23">
        <v>0.51624999999999999</v>
      </c>
    </row>
    <row r="24" spans="1:27" x14ac:dyDescent="0.25">
      <c r="A24" s="2">
        <v>45870.375</v>
      </c>
      <c r="B24" t="s">
        <v>35</v>
      </c>
      <c r="C24" t="s">
        <v>28</v>
      </c>
      <c r="D24">
        <v>24</v>
      </c>
      <c r="E24">
        <v>17</v>
      </c>
      <c r="F24">
        <v>92</v>
      </c>
      <c r="G24">
        <v>74</v>
      </c>
      <c r="H24">
        <v>-12.5</v>
      </c>
      <c r="I24">
        <v>1.833</v>
      </c>
      <c r="J24">
        <v>1.833</v>
      </c>
      <c r="K24">
        <v>164.5</v>
      </c>
      <c r="L24">
        <v>1.833</v>
      </c>
      <c r="M24">
        <v>1.833</v>
      </c>
      <c r="N24">
        <v>-3.5</v>
      </c>
      <c r="O24">
        <v>1.833</v>
      </c>
      <c r="P24">
        <v>1.833</v>
      </c>
      <c r="Q24">
        <v>0.65149999999999997</v>
      </c>
      <c r="R24">
        <v>85.182249999999996</v>
      </c>
      <c r="S24">
        <v>76.481750000000005</v>
      </c>
      <c r="T24">
        <v>161.66399999999999</v>
      </c>
      <c r="U24">
        <v>8.7004999999999999</v>
      </c>
      <c r="V24">
        <v>84</v>
      </c>
      <c r="W24">
        <v>76</v>
      </c>
      <c r="X24">
        <v>161</v>
      </c>
      <c r="Y24">
        <v>0.4325</v>
      </c>
      <c r="Z24">
        <v>0.44</v>
      </c>
      <c r="AA24">
        <v>0.45624999999999999</v>
      </c>
    </row>
    <row r="25" spans="1:27" x14ac:dyDescent="0.25">
      <c r="A25" s="2">
        <v>45870.395833333343</v>
      </c>
      <c r="B25" t="s">
        <v>41</v>
      </c>
      <c r="C25" t="s">
        <v>39</v>
      </c>
      <c r="D25">
        <v>14</v>
      </c>
      <c r="E25">
        <v>24</v>
      </c>
      <c r="F25">
        <v>49</v>
      </c>
      <c r="G25">
        <v>103</v>
      </c>
      <c r="H25">
        <v>31.5</v>
      </c>
      <c r="I25">
        <v>1.833</v>
      </c>
      <c r="J25">
        <v>1.833</v>
      </c>
      <c r="K25">
        <v>148.5</v>
      </c>
      <c r="L25">
        <v>1.833</v>
      </c>
      <c r="M25">
        <v>1.833</v>
      </c>
      <c r="N25">
        <v>8.5</v>
      </c>
      <c r="O25">
        <v>2</v>
      </c>
      <c r="P25">
        <v>1.714</v>
      </c>
      <c r="Q25">
        <v>0.2455</v>
      </c>
      <c r="R25">
        <v>65</v>
      </c>
      <c r="S25">
        <v>78.239750000000001</v>
      </c>
      <c r="T25">
        <v>143.23974999999999</v>
      </c>
      <c r="U25">
        <v>-13.239750000000001</v>
      </c>
      <c r="V25">
        <v>64</v>
      </c>
      <c r="W25">
        <v>78</v>
      </c>
      <c r="X25">
        <v>142</v>
      </c>
      <c r="Y25">
        <v>0.8175</v>
      </c>
      <c r="Z25">
        <v>0.38900000000000001</v>
      </c>
      <c r="AA25">
        <v>0.69874999999999998</v>
      </c>
    </row>
    <row r="26" spans="1:27" x14ac:dyDescent="0.25">
      <c r="A26" s="2">
        <v>45870.46875</v>
      </c>
      <c r="B26" t="s">
        <v>30</v>
      </c>
      <c r="C26" t="s">
        <v>27</v>
      </c>
      <c r="D26">
        <v>29</v>
      </c>
      <c r="E26">
        <v>17</v>
      </c>
      <c r="F26">
        <v>84</v>
      </c>
      <c r="G26">
        <v>73</v>
      </c>
      <c r="H26">
        <v>1.5</v>
      </c>
      <c r="I26">
        <v>1.833</v>
      </c>
      <c r="J26">
        <v>1.833</v>
      </c>
      <c r="K26">
        <v>147.5</v>
      </c>
      <c r="L26">
        <v>1.833</v>
      </c>
      <c r="M26">
        <v>1.833</v>
      </c>
      <c r="N26">
        <v>0.5</v>
      </c>
      <c r="O26">
        <v>1.833</v>
      </c>
      <c r="P26">
        <v>1.833</v>
      </c>
      <c r="Q26">
        <v>0.40525</v>
      </c>
      <c r="R26">
        <v>69.6845</v>
      </c>
      <c r="S26">
        <v>73.590500000000006</v>
      </c>
      <c r="T26">
        <v>143.27500000000001</v>
      </c>
      <c r="U26">
        <v>-3.9060000000000001</v>
      </c>
      <c r="V26">
        <v>69</v>
      </c>
      <c r="W26">
        <v>73</v>
      </c>
      <c r="X26">
        <v>143</v>
      </c>
      <c r="Y26">
        <v>0.44750000000000001</v>
      </c>
      <c r="Z26">
        <v>0.40849999999999997</v>
      </c>
      <c r="AA26">
        <v>0.46875</v>
      </c>
    </row>
    <row r="27" spans="1:27" x14ac:dyDescent="0.25">
      <c r="A27" s="2">
        <v>45870.489583333343</v>
      </c>
      <c r="B27" t="s">
        <v>38</v>
      </c>
      <c r="C27" t="s">
        <v>37</v>
      </c>
      <c r="D27">
        <v>18</v>
      </c>
      <c r="E27">
        <v>12</v>
      </c>
      <c r="F27">
        <v>52</v>
      </c>
      <c r="G27">
        <v>54</v>
      </c>
      <c r="H27">
        <v>20.5</v>
      </c>
      <c r="I27">
        <v>1.833</v>
      </c>
      <c r="J27">
        <v>1.833</v>
      </c>
      <c r="K27">
        <v>145.5</v>
      </c>
      <c r="L27">
        <v>1.833</v>
      </c>
      <c r="M27">
        <v>1.833</v>
      </c>
      <c r="N27">
        <v>7.5</v>
      </c>
      <c r="O27">
        <v>1.909</v>
      </c>
      <c r="P27">
        <v>1.7689999999999999</v>
      </c>
      <c r="Q27">
        <v>0.45124999999999998</v>
      </c>
      <c r="R27">
        <v>67.846999999999994</v>
      </c>
      <c r="S27">
        <v>69.78725</v>
      </c>
      <c r="T27">
        <v>137.63425000000001</v>
      </c>
      <c r="U27">
        <v>-1.94025</v>
      </c>
      <c r="V27">
        <v>67</v>
      </c>
      <c r="W27">
        <v>69</v>
      </c>
      <c r="X27">
        <v>137</v>
      </c>
      <c r="Y27">
        <v>0.83225000000000005</v>
      </c>
      <c r="Z27">
        <v>0.33274999999999999</v>
      </c>
      <c r="AA27">
        <v>0.77524999999999999</v>
      </c>
    </row>
    <row r="28" spans="1:27" x14ac:dyDescent="0.25">
      <c r="A28" s="2">
        <v>45870.541666666657</v>
      </c>
      <c r="B28" t="s">
        <v>34</v>
      </c>
      <c r="C28" t="s">
        <v>32</v>
      </c>
      <c r="D28">
        <v>11</v>
      </c>
      <c r="E28">
        <v>29</v>
      </c>
      <c r="F28">
        <v>46</v>
      </c>
      <c r="G28">
        <v>99</v>
      </c>
      <c r="H28">
        <v>36.5</v>
      </c>
      <c r="I28">
        <v>1.833</v>
      </c>
      <c r="J28">
        <v>1.833</v>
      </c>
      <c r="K28">
        <v>141.5</v>
      </c>
      <c r="L28">
        <v>1.833</v>
      </c>
      <c r="M28">
        <v>1.833</v>
      </c>
      <c r="N28">
        <v>10.5</v>
      </c>
      <c r="O28">
        <v>1.833</v>
      </c>
      <c r="P28">
        <v>1.833</v>
      </c>
      <c r="Q28">
        <v>0.1545</v>
      </c>
      <c r="R28">
        <v>53.678750000000001</v>
      </c>
      <c r="S28">
        <v>72.093000000000004</v>
      </c>
      <c r="T28">
        <v>125.77175</v>
      </c>
      <c r="U28">
        <v>-18.414249999999999</v>
      </c>
      <c r="V28">
        <v>53</v>
      </c>
      <c r="W28">
        <v>71</v>
      </c>
      <c r="X28">
        <v>125</v>
      </c>
      <c r="Y28">
        <v>0.84275</v>
      </c>
      <c r="Z28">
        <v>0.20250000000000001</v>
      </c>
      <c r="AA28">
        <v>0.76424999999999998</v>
      </c>
    </row>
    <row r="29" spans="1:27" x14ac:dyDescent="0.25">
      <c r="A29" s="2">
        <v>45870.583333333343</v>
      </c>
      <c r="B29" t="s">
        <v>36</v>
      </c>
      <c r="C29" t="s">
        <v>40</v>
      </c>
      <c r="D29">
        <v>21</v>
      </c>
      <c r="E29">
        <v>25</v>
      </c>
      <c r="F29">
        <v>78</v>
      </c>
      <c r="G29">
        <v>86</v>
      </c>
      <c r="H29">
        <v>21.5</v>
      </c>
      <c r="I29">
        <v>1.909</v>
      </c>
      <c r="J29">
        <v>1.7689999999999999</v>
      </c>
      <c r="K29">
        <v>146.5</v>
      </c>
      <c r="L29">
        <v>1.833</v>
      </c>
      <c r="M29">
        <v>1.833</v>
      </c>
      <c r="N29">
        <v>6.5</v>
      </c>
      <c r="O29">
        <v>1.833</v>
      </c>
      <c r="P29">
        <v>1.833</v>
      </c>
      <c r="Q29">
        <v>0.45324999999999999</v>
      </c>
      <c r="R29">
        <v>71.065749999999994</v>
      </c>
      <c r="S29">
        <v>73.052750000000003</v>
      </c>
      <c r="T29">
        <v>144.11850000000001</v>
      </c>
      <c r="U29">
        <v>-1.9870000000000001</v>
      </c>
      <c r="V29">
        <v>70</v>
      </c>
      <c r="W29">
        <v>73</v>
      </c>
      <c r="X29">
        <v>144</v>
      </c>
      <c r="Y29">
        <v>0.84025000000000005</v>
      </c>
      <c r="Z29">
        <v>0.443</v>
      </c>
      <c r="AA29">
        <v>0.73824999999999996</v>
      </c>
    </row>
    <row r="30" spans="1:27" x14ac:dyDescent="0.25">
      <c r="A30" s="2">
        <v>45870.583333333343</v>
      </c>
      <c r="B30" t="s">
        <v>46</v>
      </c>
      <c r="C30" t="s">
        <v>48</v>
      </c>
      <c r="D30">
        <v>28</v>
      </c>
      <c r="E30">
        <v>4</v>
      </c>
      <c r="F30">
        <v>113</v>
      </c>
      <c r="G30">
        <v>34</v>
      </c>
      <c r="H30">
        <v>-47.5</v>
      </c>
      <c r="I30">
        <v>1.869</v>
      </c>
      <c r="J30">
        <v>1.8</v>
      </c>
      <c r="K30">
        <v>137.5</v>
      </c>
      <c r="L30">
        <v>1.7689999999999999</v>
      </c>
      <c r="M30">
        <v>1.909</v>
      </c>
      <c r="N30">
        <v>-13.5</v>
      </c>
      <c r="O30">
        <v>1.8</v>
      </c>
      <c r="P30">
        <v>1.869</v>
      </c>
      <c r="Q30">
        <v>0.86624999999999996</v>
      </c>
      <c r="R30">
        <v>76.177499999999995</v>
      </c>
      <c r="S30">
        <v>53.872999999999998</v>
      </c>
      <c r="T30">
        <v>130.0505</v>
      </c>
      <c r="U30">
        <v>22.304500000000001</v>
      </c>
      <c r="V30">
        <v>76</v>
      </c>
      <c r="W30">
        <v>53</v>
      </c>
      <c r="X30">
        <v>130</v>
      </c>
      <c r="Y30">
        <v>9.9750000000000005E-2</v>
      </c>
      <c r="Z30">
        <v>0.33600000000000002</v>
      </c>
      <c r="AA30">
        <v>0.17424999999999999</v>
      </c>
    </row>
    <row r="31" spans="1:27" x14ac:dyDescent="0.25">
      <c r="A31" s="2">
        <v>45870.635416666657</v>
      </c>
      <c r="B31" t="s">
        <v>44</v>
      </c>
      <c r="C31" t="s">
        <v>33</v>
      </c>
      <c r="D31">
        <v>23</v>
      </c>
      <c r="E31">
        <v>15</v>
      </c>
      <c r="F31">
        <v>65</v>
      </c>
      <c r="G31">
        <v>77</v>
      </c>
      <c r="H31">
        <v>16.5</v>
      </c>
      <c r="I31">
        <v>1.833</v>
      </c>
      <c r="J31">
        <v>1.833</v>
      </c>
      <c r="K31">
        <v>141.5</v>
      </c>
      <c r="L31">
        <v>1.833</v>
      </c>
      <c r="M31">
        <v>1.833</v>
      </c>
      <c r="N31">
        <v>4.5</v>
      </c>
      <c r="O31">
        <v>1.869</v>
      </c>
      <c r="P31">
        <v>1.8</v>
      </c>
      <c r="Q31">
        <v>0.42299999999999999</v>
      </c>
      <c r="R31">
        <v>70.084000000000003</v>
      </c>
      <c r="S31">
        <v>73.821250000000006</v>
      </c>
      <c r="T31">
        <v>143.90525</v>
      </c>
      <c r="U31">
        <v>-3.73725</v>
      </c>
      <c r="V31">
        <v>69</v>
      </c>
      <c r="W31">
        <v>73</v>
      </c>
      <c r="X31">
        <v>143</v>
      </c>
      <c r="Y31">
        <v>0.74575000000000002</v>
      </c>
      <c r="Z31">
        <v>0.52825</v>
      </c>
      <c r="AA31">
        <v>0.65249999999999997</v>
      </c>
    </row>
    <row r="32" spans="1:27" x14ac:dyDescent="0.25">
      <c r="A32" s="2">
        <v>45870.677083333343</v>
      </c>
      <c r="B32" t="s">
        <v>45</v>
      </c>
      <c r="C32" t="s">
        <v>43</v>
      </c>
      <c r="D32">
        <v>20</v>
      </c>
      <c r="E32">
        <v>18</v>
      </c>
      <c r="F32">
        <v>75</v>
      </c>
      <c r="G32">
        <v>71</v>
      </c>
      <c r="H32">
        <v>1</v>
      </c>
      <c r="I32">
        <v>1.8</v>
      </c>
      <c r="J32">
        <v>1.869</v>
      </c>
      <c r="K32">
        <v>144.5</v>
      </c>
      <c r="L32">
        <v>1.833</v>
      </c>
      <c r="M32">
        <v>1.833</v>
      </c>
      <c r="N32">
        <v>-0.5</v>
      </c>
      <c r="O32">
        <v>1.909</v>
      </c>
      <c r="P32">
        <v>1.7689999999999999</v>
      </c>
      <c r="Q32">
        <v>0.51124999999999998</v>
      </c>
      <c r="R32">
        <v>70.246750000000006</v>
      </c>
      <c r="S32">
        <v>69.114999999999995</v>
      </c>
      <c r="T32">
        <v>139.36175</v>
      </c>
      <c r="U32">
        <v>1.13175</v>
      </c>
      <c r="V32">
        <v>70</v>
      </c>
      <c r="W32">
        <v>69</v>
      </c>
      <c r="X32">
        <v>138</v>
      </c>
      <c r="Y32">
        <v>0.53075000000000006</v>
      </c>
      <c r="Z32">
        <v>0.38250000000000001</v>
      </c>
      <c r="AA32">
        <v>0.48475000000000001</v>
      </c>
    </row>
    <row r="33" spans="1:27" x14ac:dyDescent="0.25">
      <c r="A33" s="2">
        <v>45870.770833333343</v>
      </c>
      <c r="B33" t="s">
        <v>47</v>
      </c>
      <c r="C33" t="s">
        <v>42</v>
      </c>
      <c r="D33">
        <v>19</v>
      </c>
      <c r="E33">
        <v>24</v>
      </c>
      <c r="F33">
        <v>83</v>
      </c>
      <c r="G33">
        <v>77</v>
      </c>
      <c r="H33">
        <v>14.5</v>
      </c>
      <c r="I33">
        <v>1.833</v>
      </c>
      <c r="J33">
        <v>1.833</v>
      </c>
      <c r="K33">
        <v>138.5</v>
      </c>
      <c r="L33">
        <v>1.833</v>
      </c>
      <c r="M33">
        <v>1.833</v>
      </c>
      <c r="N33">
        <v>3.5</v>
      </c>
      <c r="O33">
        <v>1.909</v>
      </c>
      <c r="P33">
        <v>1.7689999999999999</v>
      </c>
      <c r="Q33">
        <v>0.27550000000000002</v>
      </c>
      <c r="R33">
        <v>63.573</v>
      </c>
      <c r="S33">
        <v>74.368750000000006</v>
      </c>
      <c r="T33">
        <v>137.94175000000001</v>
      </c>
      <c r="U33">
        <v>-10.79575</v>
      </c>
      <c r="V33">
        <v>63</v>
      </c>
      <c r="W33">
        <v>74</v>
      </c>
      <c r="X33">
        <v>137</v>
      </c>
      <c r="Y33">
        <v>0.57974999999999999</v>
      </c>
      <c r="Z33">
        <v>0.48175000000000001</v>
      </c>
      <c r="AA33">
        <v>0.53174999999999994</v>
      </c>
    </row>
    <row r="34" spans="1:27" x14ac:dyDescent="0.25">
      <c r="A34" s="2">
        <v>45871.375</v>
      </c>
      <c r="B34" t="s">
        <v>34</v>
      </c>
      <c r="C34" t="s">
        <v>44</v>
      </c>
      <c r="D34">
        <v>10</v>
      </c>
      <c r="E34">
        <v>24</v>
      </c>
      <c r="F34">
        <v>40</v>
      </c>
      <c r="G34">
        <v>77</v>
      </c>
      <c r="H34">
        <v>35.5</v>
      </c>
      <c r="I34">
        <v>1.833</v>
      </c>
      <c r="J34">
        <v>1.833</v>
      </c>
      <c r="K34">
        <v>137.5</v>
      </c>
      <c r="L34">
        <v>1.869</v>
      </c>
      <c r="M34">
        <v>1.8</v>
      </c>
      <c r="N34">
        <v>10.5</v>
      </c>
      <c r="O34">
        <v>1.833</v>
      </c>
      <c r="P34">
        <v>1.833</v>
      </c>
      <c r="Q34">
        <v>0.17649999999999999</v>
      </c>
      <c r="R34">
        <v>53.547750000000001</v>
      </c>
      <c r="S34">
        <v>69.932000000000002</v>
      </c>
      <c r="T34">
        <v>123.47975</v>
      </c>
      <c r="U34">
        <v>-16.384250000000002</v>
      </c>
      <c r="V34">
        <v>53</v>
      </c>
      <c r="W34">
        <v>70</v>
      </c>
      <c r="X34">
        <v>123</v>
      </c>
      <c r="Y34">
        <v>0.85550000000000004</v>
      </c>
      <c r="Z34">
        <v>0.2165</v>
      </c>
      <c r="AA34">
        <v>0.76924999999999999</v>
      </c>
    </row>
    <row r="35" spans="1:27" x14ac:dyDescent="0.25">
      <c r="A35" s="2">
        <v>45871.375</v>
      </c>
      <c r="B35" t="s">
        <v>28</v>
      </c>
      <c r="C35" t="s">
        <v>30</v>
      </c>
      <c r="D35">
        <v>27</v>
      </c>
      <c r="E35">
        <v>24</v>
      </c>
      <c r="F35">
        <v>99</v>
      </c>
      <c r="G35">
        <v>94</v>
      </c>
      <c r="H35">
        <v>-8.5</v>
      </c>
      <c r="I35">
        <v>1.833</v>
      </c>
      <c r="J35">
        <v>1.833</v>
      </c>
      <c r="K35">
        <v>160.5</v>
      </c>
      <c r="L35">
        <v>1.833</v>
      </c>
      <c r="M35">
        <v>1.833</v>
      </c>
      <c r="N35">
        <v>-2.5</v>
      </c>
      <c r="O35">
        <v>1.833</v>
      </c>
      <c r="P35">
        <v>1.833</v>
      </c>
      <c r="Q35">
        <v>0.79074999999999995</v>
      </c>
      <c r="R35">
        <v>86.044499999999999</v>
      </c>
      <c r="S35">
        <v>68.364249999999998</v>
      </c>
      <c r="T35">
        <v>154.40875</v>
      </c>
      <c r="U35">
        <v>17.680250000000001</v>
      </c>
      <c r="V35">
        <v>85</v>
      </c>
      <c r="W35">
        <v>68</v>
      </c>
      <c r="X35">
        <v>154</v>
      </c>
      <c r="Y35">
        <v>0.66774999999999995</v>
      </c>
      <c r="Z35">
        <v>0.3795</v>
      </c>
      <c r="AA35">
        <v>0.58299999999999996</v>
      </c>
    </row>
    <row r="36" spans="1:27" x14ac:dyDescent="0.25">
      <c r="A36" s="2">
        <v>45871.46875</v>
      </c>
      <c r="B36" t="s">
        <v>29</v>
      </c>
      <c r="C36" t="s">
        <v>35</v>
      </c>
      <c r="D36">
        <v>15</v>
      </c>
      <c r="E36">
        <v>14</v>
      </c>
      <c r="F36">
        <v>74</v>
      </c>
      <c r="G36">
        <v>82</v>
      </c>
      <c r="H36">
        <v>10.5</v>
      </c>
      <c r="I36">
        <v>1.833</v>
      </c>
      <c r="J36">
        <v>1.833</v>
      </c>
      <c r="K36">
        <v>159.5</v>
      </c>
      <c r="L36">
        <v>1.833</v>
      </c>
      <c r="M36">
        <v>1.833</v>
      </c>
      <c r="N36">
        <v>1.5</v>
      </c>
      <c r="O36">
        <v>2</v>
      </c>
      <c r="P36">
        <v>1.714</v>
      </c>
      <c r="Q36">
        <v>0.41649999999999998</v>
      </c>
      <c r="R36">
        <v>74.966250000000002</v>
      </c>
      <c r="S36">
        <v>78.979749999999996</v>
      </c>
      <c r="T36">
        <v>153.946</v>
      </c>
      <c r="U36">
        <v>-4.0134999999999996</v>
      </c>
      <c r="V36">
        <v>74</v>
      </c>
      <c r="W36">
        <v>78</v>
      </c>
      <c r="X36">
        <v>153</v>
      </c>
      <c r="Y36">
        <v>0.61575000000000002</v>
      </c>
      <c r="Z36">
        <v>0.38524999999999998</v>
      </c>
      <c r="AA36">
        <v>0.51449999999999996</v>
      </c>
    </row>
    <row r="37" spans="1:27" x14ac:dyDescent="0.25">
      <c r="A37" s="2">
        <v>45871.46875</v>
      </c>
      <c r="B37" t="s">
        <v>33</v>
      </c>
      <c r="C37" t="s">
        <v>31</v>
      </c>
      <c r="D37">
        <v>23</v>
      </c>
      <c r="E37">
        <v>17</v>
      </c>
      <c r="F37">
        <v>106</v>
      </c>
      <c r="G37">
        <v>61</v>
      </c>
      <c r="H37">
        <v>-19.5</v>
      </c>
      <c r="I37">
        <v>1.869</v>
      </c>
      <c r="J37">
        <v>1.8</v>
      </c>
      <c r="K37">
        <v>142.5</v>
      </c>
      <c r="L37">
        <v>1.833</v>
      </c>
      <c r="M37">
        <v>1.833</v>
      </c>
      <c r="N37">
        <v>-5.5</v>
      </c>
      <c r="O37">
        <v>1.833</v>
      </c>
      <c r="P37">
        <v>1.833</v>
      </c>
      <c r="Q37">
        <v>0.59499999999999997</v>
      </c>
      <c r="R37">
        <v>72.471000000000004</v>
      </c>
      <c r="S37">
        <v>67.448499999999996</v>
      </c>
      <c r="T37">
        <v>139.9195</v>
      </c>
      <c r="U37">
        <v>5.0225</v>
      </c>
      <c r="V37">
        <v>72</v>
      </c>
      <c r="W37">
        <v>67</v>
      </c>
      <c r="X37">
        <v>139</v>
      </c>
      <c r="Y37">
        <v>0.22450000000000001</v>
      </c>
      <c r="Z37">
        <v>0.43824999999999997</v>
      </c>
      <c r="AA37">
        <v>0.32774999999999999</v>
      </c>
    </row>
    <row r="38" spans="1:27" x14ac:dyDescent="0.25">
      <c r="A38" s="2">
        <v>45872.395833333343</v>
      </c>
      <c r="B38" t="s">
        <v>37</v>
      </c>
      <c r="C38" t="s">
        <v>39</v>
      </c>
      <c r="D38">
        <v>16</v>
      </c>
      <c r="E38">
        <v>28</v>
      </c>
      <c r="F38">
        <v>43</v>
      </c>
      <c r="G38">
        <v>83</v>
      </c>
      <c r="H38">
        <v>28.5</v>
      </c>
      <c r="I38">
        <v>1.7689999999999999</v>
      </c>
      <c r="J38">
        <v>1.909</v>
      </c>
      <c r="K38">
        <v>144.5</v>
      </c>
      <c r="L38">
        <v>1.833</v>
      </c>
      <c r="M38">
        <v>1.833</v>
      </c>
      <c r="N38">
        <v>7.5</v>
      </c>
      <c r="O38">
        <v>1.909</v>
      </c>
      <c r="P38">
        <v>1.7689999999999999</v>
      </c>
      <c r="Q38">
        <v>0.25924999999999998</v>
      </c>
      <c r="R38">
        <v>63.577249999999999</v>
      </c>
      <c r="S38">
        <v>76.080500000000001</v>
      </c>
      <c r="T38">
        <v>139.65774999999999</v>
      </c>
      <c r="U38">
        <v>-12.50325</v>
      </c>
      <c r="V38">
        <v>63</v>
      </c>
      <c r="W38">
        <v>75</v>
      </c>
      <c r="X38">
        <v>139</v>
      </c>
      <c r="Y38">
        <v>0.78900000000000003</v>
      </c>
      <c r="Z38">
        <v>0.38850000000000001</v>
      </c>
      <c r="AA38">
        <v>0.68025000000000002</v>
      </c>
    </row>
    <row r="39" spans="1:27" x14ac:dyDescent="0.25">
      <c r="A39" s="2">
        <v>45872.489583333343</v>
      </c>
      <c r="B39" t="s">
        <v>36</v>
      </c>
      <c r="C39" t="s">
        <v>41</v>
      </c>
      <c r="D39">
        <v>25</v>
      </c>
      <c r="E39">
        <v>8</v>
      </c>
      <c r="F39">
        <v>83</v>
      </c>
      <c r="G39">
        <v>48</v>
      </c>
      <c r="H39">
        <v>-14.5</v>
      </c>
      <c r="I39">
        <v>1.833</v>
      </c>
      <c r="J39">
        <v>1.833</v>
      </c>
      <c r="K39">
        <v>138.5</v>
      </c>
      <c r="L39">
        <v>1.833</v>
      </c>
      <c r="M39">
        <v>1.833</v>
      </c>
      <c r="N39">
        <v>-4.5</v>
      </c>
      <c r="O39">
        <v>1.8</v>
      </c>
      <c r="P39">
        <v>1.869</v>
      </c>
      <c r="Q39">
        <v>0.60924999999999996</v>
      </c>
      <c r="R39">
        <v>70.998249999999999</v>
      </c>
      <c r="S39">
        <v>65.358999999999995</v>
      </c>
      <c r="T39">
        <v>136.35724999999999</v>
      </c>
      <c r="U39">
        <v>5.6392499999999997</v>
      </c>
      <c r="V39">
        <v>70</v>
      </c>
      <c r="W39">
        <v>65</v>
      </c>
      <c r="X39">
        <v>136</v>
      </c>
      <c r="Y39">
        <v>0.32450000000000001</v>
      </c>
      <c r="Z39">
        <v>0.44900000000000001</v>
      </c>
      <c r="AA39">
        <v>0.36875000000000002</v>
      </c>
    </row>
    <row r="40" spans="1:27" x14ac:dyDescent="0.25">
      <c r="A40" s="2">
        <v>45872.583333333343</v>
      </c>
      <c r="B40" t="s">
        <v>40</v>
      </c>
      <c r="C40" t="s">
        <v>38</v>
      </c>
      <c r="D40">
        <v>36</v>
      </c>
      <c r="E40">
        <v>8</v>
      </c>
      <c r="F40">
        <v>108</v>
      </c>
      <c r="G40">
        <v>56</v>
      </c>
      <c r="H40">
        <v>-36.5</v>
      </c>
      <c r="I40">
        <v>1.714</v>
      </c>
      <c r="J40">
        <v>2</v>
      </c>
      <c r="K40">
        <v>151.5</v>
      </c>
      <c r="L40">
        <v>1.833</v>
      </c>
      <c r="M40">
        <v>1.833</v>
      </c>
      <c r="N40">
        <v>-11.5</v>
      </c>
      <c r="O40">
        <v>1.833</v>
      </c>
      <c r="P40">
        <v>1.833</v>
      </c>
      <c r="Q40">
        <v>0.65900000000000003</v>
      </c>
      <c r="R40">
        <v>82.412999999999997</v>
      </c>
      <c r="S40">
        <v>72.85575</v>
      </c>
      <c r="T40">
        <v>155.26875000000001</v>
      </c>
      <c r="U40">
        <v>9.5572499999999998</v>
      </c>
      <c r="V40">
        <v>82</v>
      </c>
      <c r="W40">
        <v>72</v>
      </c>
      <c r="X40">
        <v>155</v>
      </c>
      <c r="Y40">
        <v>0.10150000000000001</v>
      </c>
      <c r="Z40">
        <v>0.55825000000000002</v>
      </c>
      <c r="AA40">
        <v>0.17175000000000001</v>
      </c>
    </row>
    <row r="41" spans="1:27" x14ac:dyDescent="0.25">
      <c r="A41" s="2">
        <v>45872.583333333343</v>
      </c>
      <c r="B41" t="s">
        <v>43</v>
      </c>
      <c r="C41" t="s">
        <v>46</v>
      </c>
      <c r="D41">
        <v>16</v>
      </c>
      <c r="E41">
        <v>31</v>
      </c>
      <c r="F41">
        <v>64</v>
      </c>
      <c r="G41">
        <v>100</v>
      </c>
      <c r="H41">
        <v>29.5</v>
      </c>
      <c r="I41">
        <v>1.833</v>
      </c>
      <c r="J41">
        <v>1.833</v>
      </c>
      <c r="K41">
        <v>138.5</v>
      </c>
      <c r="L41">
        <v>1.833</v>
      </c>
      <c r="M41">
        <v>1.833</v>
      </c>
      <c r="N41">
        <v>8.5</v>
      </c>
      <c r="O41">
        <v>1.833</v>
      </c>
      <c r="P41">
        <v>1.833</v>
      </c>
      <c r="Q41">
        <v>0.27024999999999999</v>
      </c>
      <c r="R41">
        <v>62.088999999999999</v>
      </c>
      <c r="S41">
        <v>73.684250000000006</v>
      </c>
      <c r="T41">
        <v>135.77324999999999</v>
      </c>
      <c r="U41">
        <v>-11.59525</v>
      </c>
      <c r="V41">
        <v>61</v>
      </c>
      <c r="W41">
        <v>73</v>
      </c>
      <c r="X41">
        <v>135</v>
      </c>
      <c r="Y41">
        <v>0.82174999999999998</v>
      </c>
      <c r="Z41">
        <v>0.43325000000000002</v>
      </c>
      <c r="AA41">
        <v>0.748</v>
      </c>
    </row>
    <row r="42" spans="1:27" x14ac:dyDescent="0.25">
      <c r="A42" s="2">
        <v>45872.677083333343</v>
      </c>
      <c r="B42" t="s">
        <v>42</v>
      </c>
      <c r="C42" t="s">
        <v>48</v>
      </c>
      <c r="D42">
        <v>17</v>
      </c>
      <c r="E42">
        <v>14</v>
      </c>
      <c r="F42">
        <v>87</v>
      </c>
      <c r="G42">
        <v>47</v>
      </c>
      <c r="H42">
        <v>-27.5</v>
      </c>
      <c r="I42">
        <v>1.833</v>
      </c>
      <c r="J42">
        <v>1.833</v>
      </c>
      <c r="K42">
        <v>138.5</v>
      </c>
      <c r="L42">
        <v>1.833</v>
      </c>
      <c r="M42">
        <v>1.833</v>
      </c>
      <c r="N42">
        <v>-7.5</v>
      </c>
      <c r="O42">
        <v>1.7689999999999999</v>
      </c>
      <c r="P42">
        <v>1.909</v>
      </c>
      <c r="Q42">
        <v>0.82474999999999998</v>
      </c>
      <c r="R42">
        <v>75.891499999999994</v>
      </c>
      <c r="S42">
        <v>56.946750000000002</v>
      </c>
      <c r="T42">
        <v>132.83824999999999</v>
      </c>
      <c r="U42">
        <v>18.944749999999999</v>
      </c>
      <c r="V42">
        <v>75</v>
      </c>
      <c r="W42">
        <v>56.5</v>
      </c>
      <c r="X42">
        <v>132</v>
      </c>
      <c r="Y42">
        <v>0.32674999999999998</v>
      </c>
      <c r="Z42">
        <v>0.38350000000000001</v>
      </c>
      <c r="AA42">
        <v>0.36375000000000002</v>
      </c>
    </row>
    <row r="43" spans="1:27" x14ac:dyDescent="0.25">
      <c r="A43" s="2">
        <v>45872.770833333343</v>
      </c>
      <c r="B43" t="s">
        <v>47</v>
      </c>
      <c r="C43" t="s">
        <v>45</v>
      </c>
      <c r="D43">
        <v>16</v>
      </c>
      <c r="E43">
        <v>21</v>
      </c>
      <c r="F43">
        <v>59</v>
      </c>
      <c r="G43">
        <v>50</v>
      </c>
      <c r="H43">
        <v>6</v>
      </c>
      <c r="I43">
        <v>1.833</v>
      </c>
      <c r="J43">
        <v>1.833</v>
      </c>
      <c r="K43">
        <v>145.5</v>
      </c>
      <c r="L43">
        <v>1.833</v>
      </c>
      <c r="M43">
        <v>1.833</v>
      </c>
      <c r="N43">
        <v>2.5</v>
      </c>
      <c r="O43">
        <v>1.909</v>
      </c>
      <c r="P43">
        <v>1.7689999999999999</v>
      </c>
      <c r="Q43">
        <v>0.38724999999999998</v>
      </c>
      <c r="R43">
        <v>65.732749999999996</v>
      </c>
      <c r="S43">
        <v>70.747249999999994</v>
      </c>
      <c r="T43">
        <v>136.47999999999999</v>
      </c>
      <c r="U43">
        <v>-5.0145</v>
      </c>
      <c r="V43">
        <v>65</v>
      </c>
      <c r="W43">
        <v>70</v>
      </c>
      <c r="X43">
        <v>136</v>
      </c>
      <c r="Y43">
        <v>0.50149999999999995</v>
      </c>
      <c r="Z43">
        <v>0.31850000000000001</v>
      </c>
      <c r="AA43">
        <v>0.5605</v>
      </c>
    </row>
    <row r="44" spans="1:27" x14ac:dyDescent="0.25">
      <c r="A44" s="2">
        <v>45873.395833333343</v>
      </c>
      <c r="B44" t="s">
        <v>41</v>
      </c>
      <c r="C44" t="s">
        <v>37</v>
      </c>
      <c r="D44">
        <v>14</v>
      </c>
      <c r="E44">
        <v>31</v>
      </c>
      <c r="F44">
        <v>57</v>
      </c>
      <c r="G44">
        <v>105</v>
      </c>
      <c r="H44">
        <v>10.5</v>
      </c>
      <c r="I44">
        <v>1.909</v>
      </c>
      <c r="J44">
        <v>1.7689999999999999</v>
      </c>
      <c r="K44">
        <v>133.5</v>
      </c>
      <c r="L44">
        <v>1.869</v>
      </c>
      <c r="M44">
        <v>1.8</v>
      </c>
      <c r="N44">
        <v>2.5</v>
      </c>
      <c r="O44">
        <v>2</v>
      </c>
      <c r="P44">
        <v>1.714</v>
      </c>
      <c r="Q44">
        <v>0.47099999999999997</v>
      </c>
      <c r="R44">
        <v>65.796499999999995</v>
      </c>
      <c r="S44">
        <v>66.353250000000003</v>
      </c>
      <c r="T44">
        <v>132.14975000000001</v>
      </c>
      <c r="U44">
        <v>-0.55674999999999997</v>
      </c>
      <c r="V44">
        <v>65</v>
      </c>
      <c r="W44">
        <v>66</v>
      </c>
      <c r="X44">
        <v>132</v>
      </c>
      <c r="Y44">
        <v>0.70025000000000004</v>
      </c>
      <c r="Z44">
        <v>0.46400000000000002</v>
      </c>
      <c r="AA44">
        <v>0.59850000000000003</v>
      </c>
    </row>
    <row r="45" spans="1:27" x14ac:dyDescent="0.25">
      <c r="A45" s="2">
        <v>45873.489583333343</v>
      </c>
      <c r="B45" t="s">
        <v>38</v>
      </c>
      <c r="C45" t="s">
        <v>36</v>
      </c>
      <c r="D45">
        <v>14</v>
      </c>
      <c r="E45">
        <v>18</v>
      </c>
      <c r="F45">
        <v>50</v>
      </c>
      <c r="G45">
        <v>73</v>
      </c>
      <c r="H45">
        <v>28</v>
      </c>
      <c r="I45">
        <v>1.833</v>
      </c>
      <c r="J45">
        <v>1.833</v>
      </c>
      <c r="K45">
        <v>140.5</v>
      </c>
      <c r="L45">
        <v>1.8</v>
      </c>
      <c r="M45">
        <v>1.869</v>
      </c>
      <c r="N45">
        <v>7.5</v>
      </c>
      <c r="O45">
        <v>2</v>
      </c>
      <c r="P45">
        <v>1.714</v>
      </c>
      <c r="Q45">
        <v>0.34050000000000002</v>
      </c>
      <c r="R45">
        <v>66.637</v>
      </c>
      <c r="S45">
        <v>74.426000000000002</v>
      </c>
      <c r="T45">
        <v>141.06299999999999</v>
      </c>
      <c r="U45">
        <v>-7.7889999999999997</v>
      </c>
      <c r="V45">
        <v>66</v>
      </c>
      <c r="W45">
        <v>73</v>
      </c>
      <c r="X45">
        <v>140</v>
      </c>
      <c r="Y45">
        <v>0.83625000000000005</v>
      </c>
      <c r="Z45">
        <v>0.48899999999999999</v>
      </c>
      <c r="AA45">
        <v>0.73599999999999999</v>
      </c>
    </row>
    <row r="46" spans="1:27" x14ac:dyDescent="0.25">
      <c r="A46" s="2">
        <v>45873.583333333343</v>
      </c>
      <c r="B46" t="s">
        <v>39</v>
      </c>
      <c r="C46" t="s">
        <v>40</v>
      </c>
      <c r="D46">
        <v>15</v>
      </c>
      <c r="E46">
        <v>15</v>
      </c>
      <c r="F46">
        <v>89</v>
      </c>
      <c r="G46">
        <v>87</v>
      </c>
      <c r="H46">
        <v>-8.5</v>
      </c>
      <c r="I46">
        <v>1.833</v>
      </c>
      <c r="J46">
        <v>1.833</v>
      </c>
      <c r="K46">
        <v>152.5</v>
      </c>
      <c r="L46">
        <v>1.833</v>
      </c>
      <c r="M46">
        <v>1.833</v>
      </c>
      <c r="N46">
        <v>-2.5</v>
      </c>
      <c r="O46">
        <v>1.833</v>
      </c>
      <c r="P46">
        <v>1.833</v>
      </c>
      <c r="Q46">
        <v>0.58925000000000005</v>
      </c>
      <c r="R46">
        <v>79.287499999999994</v>
      </c>
      <c r="S46">
        <v>73.767499999999998</v>
      </c>
      <c r="T46">
        <v>153.05500000000001</v>
      </c>
      <c r="U46">
        <v>5.52</v>
      </c>
      <c r="V46">
        <v>79</v>
      </c>
      <c r="W46">
        <v>73</v>
      </c>
      <c r="X46">
        <v>152</v>
      </c>
      <c r="Y46">
        <v>0.44750000000000001</v>
      </c>
      <c r="Z46">
        <v>0.4985</v>
      </c>
      <c r="AA46">
        <v>0.45550000000000002</v>
      </c>
    </row>
    <row r="47" spans="1:27" x14ac:dyDescent="0.25">
      <c r="A47" s="2">
        <v>45873.583333333343</v>
      </c>
      <c r="B47" t="s">
        <v>48</v>
      </c>
      <c r="C47" t="s">
        <v>43</v>
      </c>
      <c r="D47">
        <v>11</v>
      </c>
      <c r="E47">
        <v>20</v>
      </c>
      <c r="F47">
        <v>64</v>
      </c>
      <c r="G47">
        <v>73</v>
      </c>
      <c r="H47">
        <v>29.5</v>
      </c>
      <c r="I47">
        <v>1.833</v>
      </c>
      <c r="J47">
        <v>1.833</v>
      </c>
      <c r="K47">
        <v>144.5</v>
      </c>
      <c r="L47">
        <v>1.833</v>
      </c>
      <c r="M47">
        <v>1.833</v>
      </c>
      <c r="N47">
        <v>8.5</v>
      </c>
      <c r="O47">
        <v>1.833</v>
      </c>
      <c r="P47">
        <v>1.833</v>
      </c>
      <c r="Q47">
        <v>0.26200000000000001</v>
      </c>
      <c r="R47">
        <v>61.191249999999997</v>
      </c>
      <c r="S47">
        <v>73.039500000000004</v>
      </c>
      <c r="T47">
        <v>134.23075</v>
      </c>
      <c r="U47">
        <v>-11.84825</v>
      </c>
      <c r="V47">
        <v>60</v>
      </c>
      <c r="W47">
        <v>73</v>
      </c>
      <c r="X47">
        <v>134</v>
      </c>
      <c r="Y47">
        <v>0.81599999999999995</v>
      </c>
      <c r="Z47">
        <v>0.28575</v>
      </c>
      <c r="AA47">
        <v>0.74350000000000005</v>
      </c>
    </row>
    <row r="48" spans="1:27" x14ac:dyDescent="0.25">
      <c r="A48" s="2">
        <v>45873.677083333343</v>
      </c>
      <c r="B48" t="s">
        <v>45</v>
      </c>
      <c r="C48" t="s">
        <v>42</v>
      </c>
      <c r="D48">
        <v>14</v>
      </c>
      <c r="E48">
        <v>20</v>
      </c>
      <c r="F48">
        <v>72</v>
      </c>
      <c r="G48">
        <v>94</v>
      </c>
      <c r="H48">
        <v>7.5</v>
      </c>
      <c r="I48">
        <v>1.869</v>
      </c>
      <c r="J48">
        <v>1.8</v>
      </c>
      <c r="K48">
        <v>139.5</v>
      </c>
      <c r="L48">
        <v>1.833</v>
      </c>
      <c r="M48">
        <v>1.833</v>
      </c>
      <c r="N48">
        <v>2.5</v>
      </c>
      <c r="O48">
        <v>1.8</v>
      </c>
      <c r="P48">
        <v>1.869</v>
      </c>
      <c r="Q48">
        <v>0.38150000000000001</v>
      </c>
      <c r="R48">
        <v>65.629249999999999</v>
      </c>
      <c r="S48">
        <v>71.368750000000006</v>
      </c>
      <c r="T48">
        <v>136.99799999999999</v>
      </c>
      <c r="U48">
        <v>-5.7394999999999996</v>
      </c>
      <c r="V48">
        <v>65</v>
      </c>
      <c r="W48">
        <v>70</v>
      </c>
      <c r="X48">
        <v>137</v>
      </c>
      <c r="Y48">
        <v>0.53725000000000001</v>
      </c>
      <c r="Z48">
        <v>0.44600000000000001</v>
      </c>
      <c r="AA48">
        <v>0.54500000000000004</v>
      </c>
    </row>
    <row r="49" spans="1:27" x14ac:dyDescent="0.25">
      <c r="A49" s="2">
        <v>45873.770833333343</v>
      </c>
      <c r="B49" t="s">
        <v>46</v>
      </c>
      <c r="C49" t="s">
        <v>47</v>
      </c>
      <c r="D49">
        <v>24</v>
      </c>
      <c r="E49">
        <v>16</v>
      </c>
      <c r="F49">
        <v>112</v>
      </c>
      <c r="G49">
        <v>44</v>
      </c>
      <c r="H49">
        <v>-35.5</v>
      </c>
      <c r="I49">
        <v>1.869</v>
      </c>
      <c r="J49">
        <v>1.8</v>
      </c>
      <c r="K49">
        <v>140.5</v>
      </c>
      <c r="L49">
        <v>1.833</v>
      </c>
      <c r="M49">
        <v>1.833</v>
      </c>
      <c r="N49">
        <v>-9.5</v>
      </c>
      <c r="O49">
        <v>1.714</v>
      </c>
      <c r="P49">
        <v>2</v>
      </c>
      <c r="Q49">
        <v>0.76024999999999998</v>
      </c>
      <c r="R49">
        <v>73.371750000000006</v>
      </c>
      <c r="S49">
        <v>59.015999999999998</v>
      </c>
      <c r="T49">
        <v>132.38775000000001</v>
      </c>
      <c r="U49">
        <v>14.35575</v>
      </c>
      <c r="V49">
        <v>73</v>
      </c>
      <c r="W49">
        <v>58</v>
      </c>
      <c r="X49">
        <v>131</v>
      </c>
      <c r="Y49">
        <v>0.14374999999999999</v>
      </c>
      <c r="Z49">
        <v>0.33200000000000002</v>
      </c>
      <c r="AA49">
        <v>0.249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Totals</vt:lpstr>
      <vt:lpstr>Q1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Enzo Araújo</cp:lastModifiedBy>
  <dcterms:created xsi:type="dcterms:W3CDTF">2025-12-18T19:10:40Z</dcterms:created>
  <dcterms:modified xsi:type="dcterms:W3CDTF">2025-12-18T19:32:14Z</dcterms:modified>
</cp:coreProperties>
</file>